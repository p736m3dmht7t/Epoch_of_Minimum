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wner\Visual Studio\Epoch of Minimum\"/>
    </mc:Choice>
  </mc:AlternateContent>
  <xr:revisionPtr revIDLastSave="0" documentId="13_ncr:9_{9E77CCB3-FBC3-4E3A-B0CF-3ED7EED84039}" xr6:coauthVersionLast="47" xr6:coauthVersionMax="47" xr10:uidLastSave="{00000000-0000-0000-0000-000000000000}"/>
  <bookViews>
    <workbookView xWindow="-28920" yWindow="-120" windowWidth="29040" windowHeight="15720" xr2:uid="{91BDBA45-BE4C-400E-B604-2EA637845DDE}"/>
  </bookViews>
  <sheets>
    <sheet name="ASAS J221652+2229.6_Table_B_min" sheetId="1" r:id="rId1"/>
  </sheets>
  <calcPr calcId="0"/>
</workbook>
</file>

<file path=xl/calcChain.xml><?xml version="1.0" encoding="utf-8"?>
<calcChain xmlns="http://schemas.openxmlformats.org/spreadsheetml/2006/main">
  <c r="L30" i="1" l="1"/>
  <c r="I30" i="1"/>
  <c r="J30" i="1" s="1"/>
  <c r="K30" i="1" s="1"/>
  <c r="L17" i="1"/>
  <c r="I17" i="1"/>
  <c r="J17" i="1" s="1"/>
  <c r="K17" i="1" s="1"/>
  <c r="L3" i="1"/>
  <c r="I3" i="1"/>
  <c r="J3" i="1" s="1"/>
  <c r="K3" i="1" s="1"/>
  <c r="I4" i="1"/>
  <c r="J4" i="1" s="1"/>
  <c r="L39" i="1"/>
  <c r="I39" i="1"/>
  <c r="J39" i="1" s="1"/>
  <c r="K39" i="1" s="1"/>
  <c r="F39" i="1"/>
  <c r="L38" i="1"/>
  <c r="I38" i="1"/>
  <c r="J38" i="1" s="1"/>
  <c r="K38" i="1" s="1"/>
  <c r="F38" i="1"/>
  <c r="L37" i="1"/>
  <c r="I37" i="1"/>
  <c r="J37" i="1" s="1"/>
  <c r="K37" i="1" s="1"/>
  <c r="F37" i="1"/>
  <c r="L36" i="1"/>
  <c r="I36" i="1"/>
  <c r="J36" i="1" s="1"/>
  <c r="K36" i="1" s="1"/>
  <c r="F36" i="1"/>
  <c r="L35" i="1"/>
  <c r="I35" i="1"/>
  <c r="J35" i="1" s="1"/>
  <c r="K35" i="1" s="1"/>
  <c r="F35" i="1"/>
  <c r="L34" i="1"/>
  <c r="I34" i="1"/>
  <c r="J34" i="1" s="1"/>
  <c r="K34" i="1" s="1"/>
  <c r="F34" i="1"/>
  <c r="L33" i="1"/>
  <c r="I33" i="1"/>
  <c r="J33" i="1" s="1"/>
  <c r="K33" i="1" s="1"/>
  <c r="F33" i="1"/>
  <c r="L32" i="1"/>
  <c r="I32" i="1"/>
  <c r="J32" i="1" s="1"/>
  <c r="K32" i="1" s="1"/>
  <c r="F32" i="1"/>
  <c r="L31" i="1"/>
  <c r="I31" i="1"/>
  <c r="J31" i="1" s="1"/>
  <c r="K31" i="1" s="1"/>
  <c r="F31" i="1"/>
  <c r="L26" i="1"/>
  <c r="I26" i="1"/>
  <c r="J26" i="1" s="1"/>
  <c r="K26" i="1" s="1"/>
  <c r="F26" i="1"/>
  <c r="L25" i="1"/>
  <c r="I25" i="1"/>
  <c r="J25" i="1" s="1"/>
  <c r="K25" i="1" s="1"/>
  <c r="F25" i="1"/>
  <c r="L24" i="1"/>
  <c r="I24" i="1"/>
  <c r="J24" i="1" s="1"/>
  <c r="K24" i="1" s="1"/>
  <c r="F24" i="1"/>
  <c r="G24" i="1" s="1"/>
  <c r="H24" i="1" s="1"/>
  <c r="L23" i="1"/>
  <c r="I23" i="1"/>
  <c r="J23" i="1" s="1"/>
  <c r="K23" i="1" s="1"/>
  <c r="F23" i="1"/>
  <c r="L22" i="1"/>
  <c r="I22" i="1"/>
  <c r="J22" i="1" s="1"/>
  <c r="K22" i="1" s="1"/>
  <c r="F22" i="1"/>
  <c r="L21" i="1"/>
  <c r="I21" i="1"/>
  <c r="J21" i="1" s="1"/>
  <c r="K21" i="1" s="1"/>
  <c r="F21" i="1"/>
  <c r="L20" i="1"/>
  <c r="I20" i="1"/>
  <c r="J20" i="1" s="1"/>
  <c r="K20" i="1" s="1"/>
  <c r="F20" i="1"/>
  <c r="G20" i="1" s="1"/>
  <c r="H20" i="1" s="1"/>
  <c r="L19" i="1"/>
  <c r="I19" i="1"/>
  <c r="J19" i="1" s="1"/>
  <c r="K19" i="1" s="1"/>
  <c r="F19" i="1"/>
  <c r="L18" i="1"/>
  <c r="I18" i="1"/>
  <c r="J18" i="1" s="1"/>
  <c r="K18" i="1" s="1"/>
  <c r="F18" i="1"/>
  <c r="L5" i="1"/>
  <c r="L6" i="1"/>
  <c r="L7" i="1"/>
  <c r="L8" i="1"/>
  <c r="L9" i="1"/>
  <c r="L10" i="1"/>
  <c r="L11" i="1"/>
  <c r="L12" i="1"/>
  <c r="L13" i="1"/>
  <c r="L4" i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F13" i="1"/>
  <c r="G13" i="1" s="1"/>
  <c r="H13" i="1" s="1"/>
  <c r="F12" i="1"/>
  <c r="G12" i="1" s="1"/>
  <c r="H12" i="1" s="1"/>
  <c r="F11" i="1"/>
  <c r="G11" i="1" s="1"/>
  <c r="H11" i="1" s="1"/>
  <c r="F10" i="1"/>
  <c r="G10" i="1" s="1"/>
  <c r="H10" i="1" s="1"/>
  <c r="F9" i="1"/>
  <c r="G9" i="1" s="1"/>
  <c r="H9" i="1" s="1"/>
  <c r="F8" i="1"/>
  <c r="G8" i="1" s="1"/>
  <c r="H8" i="1" s="1"/>
  <c r="F7" i="1"/>
  <c r="G7" i="1" s="1"/>
  <c r="H7" i="1" s="1"/>
  <c r="F6" i="1"/>
  <c r="G6" i="1" s="1"/>
  <c r="H6" i="1" s="1"/>
  <c r="F5" i="1"/>
  <c r="G5" i="1" s="1"/>
  <c r="H5" i="1" s="1"/>
  <c r="F4" i="1"/>
  <c r="G4" i="1" s="1"/>
  <c r="H4" i="1" l="1"/>
  <c r="G32" i="1"/>
  <c r="H32" i="1" s="1"/>
  <c r="G36" i="1"/>
  <c r="H36" i="1" s="1"/>
  <c r="G33" i="1"/>
  <c r="H33" i="1" s="1"/>
  <c r="G37" i="1"/>
  <c r="H37" i="1" s="1"/>
  <c r="G34" i="1"/>
  <c r="H34" i="1" s="1"/>
  <c r="G38" i="1"/>
  <c r="H38" i="1" s="1"/>
  <c r="G31" i="1"/>
  <c r="H31" i="1" s="1"/>
  <c r="G35" i="1"/>
  <c r="H35" i="1" s="1"/>
  <c r="G39" i="1"/>
  <c r="H39" i="1" s="1"/>
  <c r="G21" i="1"/>
  <c r="H21" i="1" s="1"/>
  <c r="G25" i="1"/>
  <c r="H25" i="1" s="1"/>
  <c r="G18" i="1"/>
  <c r="H18" i="1" s="1"/>
  <c r="G22" i="1"/>
  <c r="H22" i="1" s="1"/>
  <c r="G26" i="1"/>
  <c r="H26" i="1" s="1"/>
  <c r="G19" i="1"/>
  <c r="H19" i="1" s="1"/>
  <c r="G23" i="1"/>
  <c r="H23" i="1" s="1"/>
  <c r="K4" i="1"/>
  <c r="K10" i="1"/>
  <c r="K6" i="1"/>
  <c r="K13" i="1"/>
  <c r="K12" i="1"/>
  <c r="K11" i="1"/>
  <c r="K9" i="1"/>
  <c r="K8" i="1"/>
  <c r="K7" i="1"/>
  <c r="K5" i="1"/>
  <c r="K42" i="1" l="1"/>
  <c r="G1" i="1" s="1"/>
  <c r="K41" i="1"/>
  <c r="G2" i="1" s="1"/>
</calcChain>
</file>

<file path=xl/sharedStrings.xml><?xml version="1.0" encoding="utf-8"?>
<sst xmlns="http://schemas.openxmlformats.org/spreadsheetml/2006/main" count="7" uniqueCount="7">
  <si>
    <t>BJD_TDB</t>
  </si>
  <si>
    <t>Source_AMag_T1</t>
  </si>
  <si>
    <t>B Filter</t>
  </si>
  <si>
    <t>V Filter</t>
  </si>
  <si>
    <t>R Filter</t>
  </si>
  <si>
    <t>Night of 2460905:</t>
  </si>
  <si>
    <t>Night of 2460874: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</si>
</sst>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000"/>
    <numFmt numFmtId="167" formatCode="0.000000"/>
    <numFmt numFmtId="168" formatCode="0.0000000"/>
    <numFmt numFmtId="171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" fontId="0" fillId="0" borderId="0" xfId="0" applyNumberFormat="1"/>
    <xf numFmtId="165" fontId="0" fillId="0" borderId="0" xfId="0" applyNumberFormat="1"/>
    <xf numFmtId="167" fontId="0" fillId="0" borderId="0" xfId="0" applyNumberFormat="1"/>
    <xf numFmtId="168" fontId="0" fillId="0" borderId="0" xfId="0" applyNumberFormat="1"/>
    <xf numFmtId="17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O-C vs Orbit Number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'ASAS J221652+2229.6_Table_B_min'!$L$3:$L$13</c:f>
                <c:numCache>
                  <c:formatCode>General</c:formatCode>
                  <c:ptCount val="11"/>
                  <c:pt idx="0">
                    <c:v>56.029366455571001</c:v>
                  </c:pt>
                  <c:pt idx="1">
                    <c:v>62.221302443303074</c:v>
                  </c:pt>
                  <c:pt idx="2">
                    <c:v>55.075088456299042</c:v>
                  </c:pt>
                  <c:pt idx="3">
                    <c:v>30.482826181219842</c:v>
                  </c:pt>
                  <c:pt idx="4">
                    <c:v>26.76218225853853</c:v>
                  </c:pt>
                  <c:pt idx="5">
                    <c:v>43.266188946721016</c:v>
                  </c:pt>
                  <c:pt idx="6">
                    <c:v>46.827964038610858</c:v>
                  </c:pt>
                  <c:pt idx="7">
                    <c:v>29.777053671633631</c:v>
                  </c:pt>
                  <c:pt idx="8">
                    <c:v>29.519610130832515</c:v>
                  </c:pt>
                  <c:pt idx="9">
                    <c:v>39.908360283406616</c:v>
                  </c:pt>
                  <c:pt idx="10">
                    <c:v>33.008600171648595</c:v>
                  </c:pt>
                </c:numCache>
              </c:numRef>
            </c:plus>
            <c:minus>
              <c:numRef>
                <c:f>'ASAS J221652+2229.6_Table_B_min'!$L$3:$L$13</c:f>
                <c:numCache>
                  <c:formatCode>General</c:formatCode>
                  <c:ptCount val="11"/>
                  <c:pt idx="0">
                    <c:v>56.029366455571001</c:v>
                  </c:pt>
                  <c:pt idx="1">
                    <c:v>62.221302443303074</c:v>
                  </c:pt>
                  <c:pt idx="2">
                    <c:v>55.075088456299042</c:v>
                  </c:pt>
                  <c:pt idx="3">
                    <c:v>30.482826181219842</c:v>
                  </c:pt>
                  <c:pt idx="4">
                    <c:v>26.76218225853853</c:v>
                  </c:pt>
                  <c:pt idx="5">
                    <c:v>43.266188946721016</c:v>
                  </c:pt>
                  <c:pt idx="6">
                    <c:v>46.827964038610858</c:v>
                  </c:pt>
                  <c:pt idx="7">
                    <c:v>29.777053671633631</c:v>
                  </c:pt>
                  <c:pt idx="8">
                    <c:v>29.519610130832515</c:v>
                  </c:pt>
                  <c:pt idx="9">
                    <c:v>39.908360283406616</c:v>
                  </c:pt>
                  <c:pt idx="10">
                    <c:v>33.008600171648595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'ASAS J221652+2229.6_Table_B_min'!$I$3:$I$13</c:f>
              <c:numCache>
                <c:formatCode>General</c:formatCode>
                <c:ptCount val="11"/>
                <c:pt idx="0">
                  <c:v>0</c:v>
                </c:pt>
                <c:pt idx="1">
                  <c:v>11.5</c:v>
                </c:pt>
                <c:pt idx="2">
                  <c:v>34.5</c:v>
                </c:pt>
                <c:pt idx="3">
                  <c:v>83.5</c:v>
                </c:pt>
                <c:pt idx="4">
                  <c:v>92</c:v>
                </c:pt>
                <c:pt idx="5">
                  <c:v>92.5</c:v>
                </c:pt>
                <c:pt idx="6">
                  <c:v>104</c:v>
                </c:pt>
                <c:pt idx="7">
                  <c:v>106.5</c:v>
                </c:pt>
                <c:pt idx="8">
                  <c:v>115</c:v>
                </c:pt>
                <c:pt idx="9">
                  <c:v>118.5</c:v>
                </c:pt>
                <c:pt idx="10">
                  <c:v>133</c:v>
                </c:pt>
              </c:numCache>
            </c:numRef>
          </c:xVal>
          <c:yVal>
            <c:numRef>
              <c:f>'ASAS J221652+2229.6_Table_B_min'!$K$3:$K$13</c:f>
              <c:numCache>
                <c:formatCode>0.00</c:formatCode>
                <c:ptCount val="11"/>
                <c:pt idx="0">
                  <c:v>-93.489092588424683</c:v>
                </c:pt>
                <c:pt idx="1">
                  <c:v>155.71797397431055</c:v>
                </c:pt>
                <c:pt idx="2">
                  <c:v>-13.065118888130201</c:v>
                </c:pt>
                <c:pt idx="3">
                  <c:v>42.861827373587857</c:v>
                </c:pt>
                <c:pt idx="4">
                  <c:v>-35.367062652403547</c:v>
                </c:pt>
                <c:pt idx="5">
                  <c:v>-8.6563992161472925</c:v>
                </c:pt>
                <c:pt idx="6">
                  <c:v>-33.549877702125741</c:v>
                </c:pt>
                <c:pt idx="7">
                  <c:v>29.546891445238543</c:v>
                </c:pt>
                <c:pt idx="8">
                  <c:v>9.985355704657195</c:v>
                </c:pt>
                <c:pt idx="9">
                  <c:v>-70.73563132714753</c:v>
                </c:pt>
                <c:pt idx="10">
                  <c:v>14.770043709177116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28-415B-927C-E24BBD59B09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'ASAS J221652+2229.6_Table_B_min'!$L$17:$L$26</c:f>
                <c:numCache>
                  <c:formatCode>General</c:formatCode>
                  <c:ptCount val="10"/>
                  <c:pt idx="0">
                    <c:v>79.717356777023511</c:v>
                  </c:pt>
                  <c:pt idx="1">
                    <c:v>80.130486723922402</c:v>
                  </c:pt>
                  <c:pt idx="2">
                    <c:v>44.526383193067147</c:v>
                  </c:pt>
                  <c:pt idx="3">
                    <c:v>53.961773542615731</c:v>
                  </c:pt>
                  <c:pt idx="4">
                    <c:v>51.109408140172505</c:v>
                  </c:pt>
                  <c:pt idx="5">
                    <c:v>52.211461145754583</c:v>
                  </c:pt>
                  <c:pt idx="6">
                    <c:v>41.372398136907186</c:v>
                  </c:pt>
                  <c:pt idx="7">
                    <c:v>68.315138655367448</c:v>
                  </c:pt>
                  <c:pt idx="8">
                    <c:v>43.237366559107812</c:v>
                  </c:pt>
                  <c:pt idx="9">
                    <c:v>56.486428228241074</c:v>
                  </c:pt>
                </c:numCache>
              </c:numRef>
            </c:plus>
            <c:minus>
              <c:numRef>
                <c:f>'ASAS J221652+2229.6_Table_B_min'!$L$17:$L$26</c:f>
                <c:numCache>
                  <c:formatCode>General</c:formatCode>
                  <c:ptCount val="10"/>
                  <c:pt idx="0">
                    <c:v>79.717356777023511</c:v>
                  </c:pt>
                  <c:pt idx="1">
                    <c:v>80.130486723922402</c:v>
                  </c:pt>
                  <c:pt idx="2">
                    <c:v>44.526383193067147</c:v>
                  </c:pt>
                  <c:pt idx="3">
                    <c:v>53.961773542615731</c:v>
                  </c:pt>
                  <c:pt idx="4">
                    <c:v>51.109408140172505</c:v>
                  </c:pt>
                  <c:pt idx="5">
                    <c:v>52.211461145754583</c:v>
                  </c:pt>
                  <c:pt idx="6">
                    <c:v>41.372398136907186</c:v>
                  </c:pt>
                  <c:pt idx="7">
                    <c:v>68.315138655367448</c:v>
                  </c:pt>
                  <c:pt idx="8">
                    <c:v>43.237366559107812</c:v>
                  </c:pt>
                  <c:pt idx="9">
                    <c:v>56.486428228241074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'ASAS J221652+2229.6_Table_B_min'!$I$17:$I$26</c:f>
              <c:numCache>
                <c:formatCode>General</c:formatCode>
                <c:ptCount val="10"/>
                <c:pt idx="0">
                  <c:v>34.5</c:v>
                </c:pt>
                <c:pt idx="1">
                  <c:v>49</c:v>
                </c:pt>
                <c:pt idx="2">
                  <c:v>81</c:v>
                </c:pt>
                <c:pt idx="3">
                  <c:v>83.5</c:v>
                </c:pt>
                <c:pt idx="4">
                  <c:v>92</c:v>
                </c:pt>
                <c:pt idx="5">
                  <c:v>92.5</c:v>
                </c:pt>
                <c:pt idx="6">
                  <c:v>104</c:v>
                </c:pt>
                <c:pt idx="7">
                  <c:v>106.5</c:v>
                </c:pt>
                <c:pt idx="8">
                  <c:v>118.5</c:v>
                </c:pt>
                <c:pt idx="9">
                  <c:v>133</c:v>
                </c:pt>
              </c:numCache>
            </c:numRef>
          </c:xVal>
          <c:yVal>
            <c:numRef>
              <c:f>'ASAS J221652+2229.6_Table_B_min'!$K$17:$K$26</c:f>
              <c:numCache>
                <c:formatCode>0.00</c:formatCode>
                <c:ptCount val="10"/>
                <c:pt idx="0">
                  <c:v>46.107644042263018</c:v>
                </c:pt>
                <c:pt idx="1">
                  <c:v>-45.419396003887869</c:v>
                </c:pt>
                <c:pt idx="2">
                  <c:v>17.400903172745075</c:v>
                </c:pt>
                <c:pt idx="3">
                  <c:v>53.355956733309995</c:v>
                </c:pt>
                <c:pt idx="4">
                  <c:v>50.214730238621996</c:v>
                </c:pt>
                <c:pt idx="5">
                  <c:v>-46.553156043978561</c:v>
                </c:pt>
                <c:pt idx="6">
                  <c:v>2.7986276160390844</c:v>
                </c:pt>
                <c:pt idx="7">
                  <c:v>55.490222865660144</c:v>
                </c:pt>
                <c:pt idx="8">
                  <c:v>-42.484567503447579</c:v>
                </c:pt>
                <c:pt idx="9">
                  <c:v>61.595418372053246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28-415B-927C-E24BBD59B099}"/>
            </c:ext>
          </c:extLst>
        </c:ser>
        <c:ser>
          <c:idx val="2"/>
          <c:order val="2"/>
          <c:tx>
            <c:v>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'ASAS J221652+2229.6_Table_B_min'!$L$30:$L$39</c:f>
                <c:numCache>
                  <c:formatCode>General</c:formatCode>
                  <c:ptCount val="10"/>
                  <c:pt idx="0">
                    <c:v>36.935714777545407</c:v>
                  </c:pt>
                  <c:pt idx="1">
                    <c:v>41.755262920906205</c:v>
                  </c:pt>
                  <c:pt idx="2">
                    <c:v>30.047224460938189</c:v>
                  </c:pt>
                  <c:pt idx="3">
                    <c:v>80.781841406684805</c:v>
                  </c:pt>
                  <c:pt idx="4">
                    <c:v>30.595009224743166</c:v>
                  </c:pt>
                  <c:pt idx="5">
                    <c:v>78.048857795599559</c:v>
                  </c:pt>
                  <c:pt idx="6">
                    <c:v>66.133115031250256</c:v>
                  </c:pt>
                  <c:pt idx="7">
                    <c:v>38.724408123313999</c:v>
                  </c:pt>
                  <c:pt idx="8">
                    <c:v>48.85591888265904</c:v>
                  </c:pt>
                  <c:pt idx="9">
                    <c:v>44.121490915505071</c:v>
                  </c:pt>
                </c:numCache>
              </c:numRef>
            </c:plus>
            <c:minus>
              <c:numRef>
                <c:f>'ASAS J221652+2229.6_Table_B_min'!$L$30:$L$39</c:f>
                <c:numCache>
                  <c:formatCode>General</c:formatCode>
                  <c:ptCount val="10"/>
                  <c:pt idx="0">
                    <c:v>36.935714777545407</c:v>
                  </c:pt>
                  <c:pt idx="1">
                    <c:v>41.755262920906205</c:v>
                  </c:pt>
                  <c:pt idx="2">
                    <c:v>30.047224460938189</c:v>
                  </c:pt>
                  <c:pt idx="3">
                    <c:v>80.781841406684805</c:v>
                  </c:pt>
                  <c:pt idx="4">
                    <c:v>30.595009224743166</c:v>
                  </c:pt>
                  <c:pt idx="5">
                    <c:v>78.048857795599559</c:v>
                  </c:pt>
                  <c:pt idx="6">
                    <c:v>66.133115031250256</c:v>
                  </c:pt>
                  <c:pt idx="7">
                    <c:v>38.724408123313999</c:v>
                  </c:pt>
                  <c:pt idx="8">
                    <c:v>48.85591888265904</c:v>
                  </c:pt>
                  <c:pt idx="9">
                    <c:v>44.121490915505071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'ASAS J221652+2229.6_Table_B_min'!$I$30:$I$39</c:f>
              <c:numCache>
                <c:formatCode>General</c:formatCode>
                <c:ptCount val="10"/>
                <c:pt idx="0">
                  <c:v>0</c:v>
                </c:pt>
                <c:pt idx="1">
                  <c:v>11.5</c:v>
                </c:pt>
                <c:pt idx="2">
                  <c:v>57.5</c:v>
                </c:pt>
                <c:pt idx="3">
                  <c:v>92</c:v>
                </c:pt>
                <c:pt idx="4">
                  <c:v>92.5</c:v>
                </c:pt>
                <c:pt idx="5">
                  <c:v>104</c:v>
                </c:pt>
                <c:pt idx="6">
                  <c:v>106.5</c:v>
                </c:pt>
                <c:pt idx="7">
                  <c:v>118.5</c:v>
                </c:pt>
                <c:pt idx="8">
                  <c:v>133</c:v>
                </c:pt>
                <c:pt idx="9">
                  <c:v>155.5</c:v>
                </c:pt>
              </c:numCache>
            </c:numRef>
          </c:xVal>
          <c:yVal>
            <c:numRef>
              <c:f>'ASAS J221652+2229.6_Table_B_min'!$K$30:$K$39</c:f>
              <c:numCache>
                <c:formatCode>0.00</c:formatCode>
                <c:ptCount val="10"/>
                <c:pt idx="0">
                  <c:v>-72.726340591907501</c:v>
                </c:pt>
                <c:pt idx="1">
                  <c:v>35.929526951872504</c:v>
                </c:pt>
                <c:pt idx="2">
                  <c:v>-37.487618789259614</c:v>
                </c:pt>
                <c:pt idx="3">
                  <c:v>-1.4991312864367501</c:v>
                </c:pt>
                <c:pt idx="4">
                  <c:v>-47.094010080786575</c:v>
                </c:pt>
                <c:pt idx="5">
                  <c:v>-25.557887255081368</c:v>
                </c:pt>
                <c:pt idx="6">
                  <c:v>2.6722031775307187</c:v>
                </c:pt>
                <c:pt idx="7">
                  <c:v>9.8867839174317851</c:v>
                </c:pt>
                <c:pt idx="8">
                  <c:v>19.52290467252169</c:v>
                </c:pt>
                <c:pt idx="9">
                  <c:v>-34.159068015014782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28-415B-927C-E24BBD59B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70863"/>
        <c:axId val="77471343"/>
      </c:scatterChart>
      <c:valAx>
        <c:axId val="7747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71343"/>
        <c:crosses val="autoZero"/>
        <c:crossBetween val="midCat"/>
      </c:valAx>
      <c:valAx>
        <c:axId val="7747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7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 Filter Primary and Secondary Eclipse Same Night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'ASAS J221652+2229.6_Table_B_min'!$A$43:$A$61</c:f>
              <c:numCache>
                <c:formatCode>0.0000000</c:formatCode>
                <c:ptCount val="19"/>
                <c:pt idx="0">
                  <c:v>2460906.6456829002</c:v>
                </c:pt>
                <c:pt idx="1">
                  <c:v>2460906.65698004</c:v>
                </c:pt>
                <c:pt idx="2">
                  <c:v>2460906.6681604502</c:v>
                </c:pt>
                <c:pt idx="3">
                  <c:v>2460906.6793419002</c:v>
                </c:pt>
                <c:pt idx="4">
                  <c:v>2460906.6905240999</c:v>
                </c:pt>
                <c:pt idx="5">
                  <c:v>2460906.7017034199</c:v>
                </c:pt>
                <c:pt idx="6">
                  <c:v>2460906.7129075001</c:v>
                </c:pt>
                <c:pt idx="7">
                  <c:v>2460906.7241344899</c:v>
                </c:pt>
                <c:pt idx="8">
                  <c:v>2460906.7353868498</c:v>
                </c:pt>
                <c:pt idx="10">
                  <c:v>2460906.8199234698</c:v>
                </c:pt>
                <c:pt idx="11">
                  <c:v>2460906.8311041198</c:v>
                </c:pt>
                <c:pt idx="12">
                  <c:v>2460906.8423777302</c:v>
                </c:pt>
                <c:pt idx="13">
                  <c:v>2460906.85362801</c:v>
                </c:pt>
                <c:pt idx="14">
                  <c:v>2460906.86490126</c:v>
                </c:pt>
                <c:pt idx="15">
                  <c:v>2460906.8762242799</c:v>
                </c:pt>
                <c:pt idx="16">
                  <c:v>2460906.88754061</c:v>
                </c:pt>
                <c:pt idx="17">
                  <c:v>2460906.8988148002</c:v>
                </c:pt>
                <c:pt idx="18">
                  <c:v>2460906.9101336598</c:v>
                </c:pt>
              </c:numCache>
            </c:numRef>
          </c:xVal>
          <c:yVal>
            <c:numRef>
              <c:f>'ASAS J221652+2229.6_Table_B_min'!$B$43:$B$61</c:f>
              <c:numCache>
                <c:formatCode>0.0000</c:formatCode>
                <c:ptCount val="19"/>
                <c:pt idx="0">
                  <c:v>14.1015604958325</c:v>
                </c:pt>
                <c:pt idx="1">
                  <c:v>14.2095816243902</c:v>
                </c:pt>
                <c:pt idx="2">
                  <c:v>14.442014611298401</c:v>
                </c:pt>
                <c:pt idx="3">
                  <c:v>14.7357961724252</c:v>
                </c:pt>
                <c:pt idx="4">
                  <c:v>14.946409064651901</c:v>
                </c:pt>
                <c:pt idx="5">
                  <c:v>14.7054437789674</c:v>
                </c:pt>
                <c:pt idx="6">
                  <c:v>14.392668490636099</c:v>
                </c:pt>
                <c:pt idx="7">
                  <c:v>14.1708788811461</c:v>
                </c:pt>
                <c:pt idx="8">
                  <c:v>14.0448258868813</c:v>
                </c:pt>
                <c:pt idx="10">
                  <c:v>13.9760726628576</c:v>
                </c:pt>
                <c:pt idx="11">
                  <c:v>14.0993720591</c:v>
                </c:pt>
                <c:pt idx="12">
                  <c:v>14.2339381478061</c:v>
                </c:pt>
                <c:pt idx="13">
                  <c:v>14.447899290023001</c:v>
                </c:pt>
                <c:pt idx="14">
                  <c:v>14.5229007746679</c:v>
                </c:pt>
                <c:pt idx="15">
                  <c:v>14.368319560496801</c:v>
                </c:pt>
                <c:pt idx="16">
                  <c:v>14.178748683639</c:v>
                </c:pt>
                <c:pt idx="17">
                  <c:v>14.0383144226392</c:v>
                </c:pt>
                <c:pt idx="18">
                  <c:v>13.9609717047255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09-45B0-B802-9FE9E0AAE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609215"/>
        <c:axId val="811612095"/>
      </c:scatterChart>
      <c:valAx>
        <c:axId val="81160921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612095"/>
        <c:crosses val="autoZero"/>
        <c:crossBetween val="midCat"/>
      </c:valAx>
      <c:valAx>
        <c:axId val="811612095"/>
        <c:scaling>
          <c:orientation val="maxMin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609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 Filter First Primary Eclipse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'ASAS J221652+2229.6_Table_B_min'!$A$3:$A$11</c:f>
              <c:numCache>
                <c:formatCode>0.0000000</c:formatCode>
                <c:ptCount val="9"/>
                <c:pt idx="0">
                  <c:v>2460874.7698878199</c:v>
                </c:pt>
                <c:pt idx="1">
                  <c:v>2460874.7811160502</c:v>
                </c:pt>
                <c:pt idx="2">
                  <c:v>2460874.7924592001</c:v>
                </c:pt>
                <c:pt idx="3">
                  <c:v>2460874.8036175501</c:v>
                </c:pt>
                <c:pt idx="4">
                  <c:v>2460874.8147525699</c:v>
                </c:pt>
                <c:pt idx="5">
                  <c:v>2460874.82598085</c:v>
                </c:pt>
                <c:pt idx="6">
                  <c:v>2460874.8371854401</c:v>
                </c:pt>
                <c:pt idx="7">
                  <c:v>2460874.84839006</c:v>
                </c:pt>
                <c:pt idx="8">
                  <c:v>2460874.8576729302</c:v>
                </c:pt>
              </c:numCache>
            </c:numRef>
          </c:xVal>
          <c:yVal>
            <c:numRef>
              <c:f>'ASAS J221652+2229.6_Table_B_min'!$B$3:$B$11</c:f>
              <c:numCache>
                <c:formatCode>0.0000</c:formatCode>
                <c:ptCount val="9"/>
                <c:pt idx="0">
                  <c:v>14.0827070612422</c:v>
                </c:pt>
                <c:pt idx="1">
                  <c:v>14.167316711559801</c:v>
                </c:pt>
                <c:pt idx="2">
                  <c:v>14.3378074834256</c:v>
                </c:pt>
                <c:pt idx="3">
                  <c:v>14.683093123958599</c:v>
                </c:pt>
                <c:pt idx="4">
                  <c:v>14.952259239329001</c:v>
                </c:pt>
                <c:pt idx="5">
                  <c:v>14.7603586276628</c:v>
                </c:pt>
                <c:pt idx="6">
                  <c:v>14.431278645742101</c:v>
                </c:pt>
                <c:pt idx="7">
                  <c:v>14.1827538704564</c:v>
                </c:pt>
                <c:pt idx="8">
                  <c:v>14.082643587202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EE-4E17-A9B4-D0D1813C0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755807"/>
        <c:axId val="173752927"/>
      </c:scatterChart>
      <c:valAx>
        <c:axId val="17375580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52927"/>
        <c:crosses val="autoZero"/>
        <c:crossBetween val="midCat"/>
      </c:valAx>
      <c:valAx>
        <c:axId val="173752927"/>
        <c:scaling>
          <c:orientation val="maxMin"/>
          <c:max val="15"/>
          <c:min val="13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5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18</xdr:row>
      <xdr:rowOff>0</xdr:rowOff>
    </xdr:from>
    <xdr:to>
      <xdr:col>21</xdr:col>
      <xdr:colOff>304800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85BEF36-6F22-42A0-9B9C-D2E52047A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</xdr:row>
      <xdr:rowOff>0</xdr:rowOff>
    </xdr:from>
    <xdr:to>
      <xdr:col>21</xdr:col>
      <xdr:colOff>304800</xdr:colOff>
      <xdr:row>17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F49C968-F997-41C5-8D24-4F22938D37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1</xdr:colOff>
      <xdr:row>3</xdr:row>
      <xdr:rowOff>0</xdr:rowOff>
    </xdr:from>
    <xdr:to>
      <xdr:col>26</xdr:col>
      <xdr:colOff>133351</xdr:colOff>
      <xdr:row>17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7A63CC-4A1E-409E-A5FD-DFEF717FC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BA69-2653-404C-A997-26195FC051D0}">
  <sheetPr codeName="Sheet1"/>
  <dimension ref="A1:W111"/>
  <sheetViews>
    <sheetView tabSelected="1" workbookViewId="0">
      <selection activeCell="F1" sqref="F1"/>
    </sheetView>
  </sheetViews>
  <sheetFormatPr defaultRowHeight="15" x14ac:dyDescent="0.25"/>
  <cols>
    <col min="1" max="1" width="15.7109375" style="4" bestFit="1" customWidth="1"/>
    <col min="2" max="2" width="9.5703125" style="2" bestFit="1" customWidth="1"/>
    <col min="4" max="4" width="14.7109375" bestFit="1" customWidth="1"/>
    <col min="6" max="7" width="14.7109375" bestFit="1" customWidth="1"/>
    <col min="9" max="9" width="12.7109375" bestFit="1" customWidth="1"/>
    <col min="10" max="11" width="10.28515625" bestFit="1" customWidth="1"/>
  </cols>
  <sheetData>
    <row r="1" spans="1:23" x14ac:dyDescent="0.25">
      <c r="F1" s="3">
        <v>2460874.8169648899</v>
      </c>
      <c r="G1" s="3">
        <f>F1+$K$42/24/3600</f>
        <v>2460874.8169648945</v>
      </c>
    </row>
    <row r="2" spans="1:23" x14ac:dyDescent="0.25">
      <c r="A2" s="4" t="s">
        <v>0</v>
      </c>
      <c r="B2" s="2" t="s">
        <v>1</v>
      </c>
      <c r="D2" s="7" t="s">
        <v>2</v>
      </c>
      <c r="F2" s="3">
        <v>0.34644535729595899</v>
      </c>
      <c r="G2" s="3">
        <f>F2+K41/24/3600</f>
        <v>0.34644535729595888</v>
      </c>
    </row>
    <row r="3" spans="1:23" x14ac:dyDescent="0.25">
      <c r="A3" s="4">
        <v>2460874.7698878199</v>
      </c>
      <c r="B3" s="2">
        <v>14.0827070612422</v>
      </c>
      <c r="D3" s="3">
        <v>2460874.8158828402</v>
      </c>
      <c r="E3" s="3">
        <v>6.4848803768021996E-4</v>
      </c>
      <c r="I3">
        <f>ROUND((D3-$F$1)/$F$2*2,0)/2</f>
        <v>0</v>
      </c>
      <c r="J3" s="3">
        <f>(D3-$F$1)-I3*$F$2</f>
        <v>-1.0820496827363968E-3</v>
      </c>
      <c r="K3" s="1">
        <f>J3*86400</f>
        <v>-93.489092588424683</v>
      </c>
      <c r="L3">
        <f>E3*24*3600</f>
        <v>56.029366455571001</v>
      </c>
      <c r="O3" s="7" t="s">
        <v>5</v>
      </c>
      <c r="W3" s="7" t="s">
        <v>6</v>
      </c>
    </row>
    <row r="4" spans="1:23" x14ac:dyDescent="0.25">
      <c r="A4" s="4">
        <v>2460874.7811160502</v>
      </c>
      <c r="B4" s="2">
        <v>14.167316711559801</v>
      </c>
      <c r="D4" s="3">
        <v>2460878.8028887901</v>
      </c>
      <c r="E4" s="3">
        <v>7.2015396346415596E-4</v>
      </c>
      <c r="F4" s="3">
        <f>D4-D3</f>
        <v>3.9870059499517083</v>
      </c>
      <c r="G4">
        <f>ROUND(F4/$F$2*2,0)/2</f>
        <v>11.5</v>
      </c>
      <c r="H4">
        <f>F4/G4</f>
        <v>0.34669616956101812</v>
      </c>
      <c r="I4">
        <f>ROUND((D4-$F$1)/$F$2*2,0)/2</f>
        <v>11.5</v>
      </c>
      <c r="J4" s="3">
        <f>(D4-$F$1)-I4*$F$2</f>
        <v>1.8022913654434092E-3</v>
      </c>
      <c r="K4" s="1">
        <f>J4*86400</f>
        <v>155.71797397431055</v>
      </c>
      <c r="L4">
        <f>E4*24*3600</f>
        <v>62.221302443303074</v>
      </c>
    </row>
    <row r="5" spans="1:23" x14ac:dyDescent="0.25">
      <c r="A5" s="4">
        <v>2460874.7924592001</v>
      </c>
      <c r="B5" s="2">
        <v>14.3378074834256</v>
      </c>
      <c r="D5" s="3">
        <v>2460886.7691784999</v>
      </c>
      <c r="E5" s="3">
        <v>6.3744315342938705E-4</v>
      </c>
      <c r="F5" s="3">
        <f t="shared" ref="F5:F13" si="0">D5-D4</f>
        <v>7.9662897097878158</v>
      </c>
      <c r="G5">
        <f t="shared" ref="G5:G13" si="1">ROUND(F5/$F$2*2,0)/2</f>
        <v>23</v>
      </c>
      <c r="H5">
        <f t="shared" ref="H5:H13" si="2">F5/G5</f>
        <v>0.34636042216468765</v>
      </c>
      <c r="I5">
        <f t="shared" ref="I5:I13" si="3">ROUND((D5-$F$1)/$F$2*2,0)/2</f>
        <v>34.5</v>
      </c>
      <c r="J5" s="3">
        <f t="shared" ref="J5:J13" si="4">(D5-$F$1)-I5*$F$2</f>
        <v>-1.5121665379780325E-4</v>
      </c>
      <c r="K5" s="1">
        <f t="shared" ref="K5:K13" si="5">J5*86400</f>
        <v>-13.065118888130201</v>
      </c>
      <c r="L5">
        <f t="shared" ref="L5:L13" si="6">E5*24*3600</f>
        <v>55.075088456299042</v>
      </c>
    </row>
    <row r="6" spans="1:23" x14ac:dyDescent="0.25">
      <c r="A6" s="4">
        <v>2460874.8036175501</v>
      </c>
      <c r="B6" s="2">
        <v>14.683093123958599</v>
      </c>
      <c r="D6" s="3">
        <v>2460903.7456483101</v>
      </c>
      <c r="E6" s="3">
        <v>3.5281048820856299E-4</v>
      </c>
      <c r="F6" s="3">
        <f t="shared" si="0"/>
        <v>16.976469810120761</v>
      </c>
      <c r="G6">
        <f t="shared" si="1"/>
        <v>49</v>
      </c>
      <c r="H6">
        <f t="shared" si="2"/>
        <v>0.34645856755348492</v>
      </c>
      <c r="I6">
        <f t="shared" si="3"/>
        <v>83.5</v>
      </c>
      <c r="J6" s="3">
        <f t="shared" si="4"/>
        <v>4.9608596497208168E-4</v>
      </c>
      <c r="K6" s="1">
        <f t="shared" si="5"/>
        <v>42.861827373587857</v>
      </c>
      <c r="L6">
        <f t="shared" si="6"/>
        <v>30.482826181219842</v>
      </c>
    </row>
    <row r="7" spans="1:23" x14ac:dyDescent="0.25">
      <c r="A7" s="4">
        <v>2460874.8147525699</v>
      </c>
      <c r="B7" s="2">
        <v>14.952259239329001</v>
      </c>
      <c r="D7" s="3">
        <v>2460906.6895284201</v>
      </c>
      <c r="E7" s="3">
        <v>3.0974747984419598E-4</v>
      </c>
      <c r="F7" s="3">
        <f t="shared" si="0"/>
        <v>2.9438801100477576</v>
      </c>
      <c r="G7">
        <f t="shared" si="1"/>
        <v>8.5</v>
      </c>
      <c r="H7">
        <f t="shared" si="2"/>
        <v>0.34633883647620678</v>
      </c>
      <c r="I7">
        <f t="shared" si="3"/>
        <v>92</v>
      </c>
      <c r="J7" s="3">
        <f t="shared" si="4"/>
        <v>-4.0934100292133735E-4</v>
      </c>
      <c r="K7" s="1">
        <f t="shared" si="5"/>
        <v>-35.367062652403547</v>
      </c>
      <c r="L7">
        <f t="shared" si="6"/>
        <v>26.76218225853853</v>
      </c>
    </row>
    <row r="8" spans="1:23" x14ac:dyDescent="0.25">
      <c r="A8" s="4">
        <v>2460874.82598085</v>
      </c>
      <c r="B8" s="2">
        <v>14.7603586276628</v>
      </c>
      <c r="D8" s="3">
        <v>2460906.8630602499</v>
      </c>
      <c r="E8" s="3">
        <v>5.0076607577223401E-4</v>
      </c>
      <c r="F8" s="3">
        <f t="shared" si="0"/>
        <v>0.17353182984516025</v>
      </c>
      <c r="G8">
        <f t="shared" si="1"/>
        <v>0.5</v>
      </c>
      <c r="H8">
        <f t="shared" si="2"/>
        <v>0.34706365969032049</v>
      </c>
      <c r="I8">
        <f t="shared" si="3"/>
        <v>92.5</v>
      </c>
      <c r="J8" s="3">
        <f t="shared" si="4"/>
        <v>-1.0018980574244551E-4</v>
      </c>
      <c r="K8" s="1">
        <f t="shared" si="5"/>
        <v>-8.6563992161472925</v>
      </c>
      <c r="L8">
        <f t="shared" si="6"/>
        <v>43.266188946721016</v>
      </c>
    </row>
    <row r="9" spans="1:23" x14ac:dyDescent="0.25">
      <c r="A9" s="4">
        <v>2460874.8371854401</v>
      </c>
      <c r="B9" s="2">
        <v>14.431278645742101</v>
      </c>
      <c r="D9" s="3">
        <v>2460910.8468937399</v>
      </c>
      <c r="E9" s="3">
        <v>5.4199032452095905E-4</v>
      </c>
      <c r="F9" s="3">
        <f t="shared" si="0"/>
        <v>3.9838334899395704</v>
      </c>
      <c r="G9">
        <f t="shared" si="1"/>
        <v>11.5</v>
      </c>
      <c r="H9">
        <f t="shared" si="2"/>
        <v>0.34642030347300612</v>
      </c>
      <c r="I9">
        <f t="shared" si="3"/>
        <v>104</v>
      </c>
      <c r="J9" s="3">
        <f t="shared" si="4"/>
        <v>-3.8830876970052941E-4</v>
      </c>
      <c r="K9" s="1">
        <f t="shared" si="5"/>
        <v>-33.549877702125741</v>
      </c>
      <c r="L9">
        <f t="shared" si="6"/>
        <v>46.827964038610858</v>
      </c>
    </row>
    <row r="10" spans="1:23" x14ac:dyDescent="0.25">
      <c r="A10" s="4">
        <v>2460874.84839006</v>
      </c>
      <c r="B10" s="2">
        <v>14.1827538704564</v>
      </c>
      <c r="D10" s="3">
        <v>2460911.7137374198</v>
      </c>
      <c r="E10" s="3">
        <v>3.4464182490316701E-4</v>
      </c>
      <c r="F10" s="3">
        <f t="shared" si="0"/>
        <v>0.86684367991983891</v>
      </c>
      <c r="G10">
        <f t="shared" si="1"/>
        <v>2.5</v>
      </c>
      <c r="H10">
        <f t="shared" si="2"/>
        <v>0.34673747196793558</v>
      </c>
      <c r="I10">
        <f t="shared" si="3"/>
        <v>106.5</v>
      </c>
      <c r="J10" s="3">
        <f t="shared" si="4"/>
        <v>3.4197791024581647E-4</v>
      </c>
      <c r="K10" s="1">
        <f t="shared" si="5"/>
        <v>29.546891445238543</v>
      </c>
      <c r="L10">
        <f t="shared" si="6"/>
        <v>29.777053671633631</v>
      </c>
    </row>
    <row r="11" spans="1:23" x14ac:dyDescent="0.25">
      <c r="A11" s="4">
        <v>2460874.8576729302</v>
      </c>
      <c r="B11" s="2">
        <v>14.082643587202</v>
      </c>
      <c r="D11" s="3">
        <v>2460914.6582965502</v>
      </c>
      <c r="E11" s="3">
        <v>3.4166215429204302E-4</v>
      </c>
      <c r="F11" s="3">
        <f t="shared" si="0"/>
        <v>2.9445591303519905</v>
      </c>
      <c r="G11">
        <f t="shared" si="1"/>
        <v>8.5</v>
      </c>
      <c r="H11">
        <f t="shared" si="2"/>
        <v>0.34641872121788125</v>
      </c>
      <c r="I11">
        <f t="shared" si="3"/>
        <v>115</v>
      </c>
      <c r="J11" s="3">
        <f t="shared" si="4"/>
        <v>1.155712465816805E-4</v>
      </c>
      <c r="K11" s="1">
        <f t="shared" si="5"/>
        <v>9.985355704657195</v>
      </c>
      <c r="L11">
        <f t="shared" si="6"/>
        <v>29.519610130832515</v>
      </c>
    </row>
    <row r="12" spans="1:23" x14ac:dyDescent="0.25">
      <c r="D12" s="3">
        <v>2460915.86992103</v>
      </c>
      <c r="E12" s="3">
        <v>4.6190231809498398E-4</v>
      </c>
      <c r="F12" s="3">
        <f t="shared" si="0"/>
        <v>1.2116244798526168</v>
      </c>
      <c r="G12">
        <f t="shared" si="1"/>
        <v>3.5</v>
      </c>
      <c r="H12">
        <f t="shared" si="2"/>
        <v>0.34617842281503336</v>
      </c>
      <c r="I12">
        <f t="shared" si="3"/>
        <v>118.5</v>
      </c>
      <c r="J12" s="3">
        <f t="shared" si="4"/>
        <v>-8.1869943665680012E-4</v>
      </c>
      <c r="K12" s="1">
        <f t="shared" si="5"/>
        <v>-70.73563132714753</v>
      </c>
      <c r="L12">
        <f t="shared" si="6"/>
        <v>39.908360283406616</v>
      </c>
    </row>
    <row r="13" spans="1:23" x14ac:dyDescent="0.25">
      <c r="A13" s="4">
        <v>2460878.75764261</v>
      </c>
      <c r="B13" s="2">
        <v>13.9603037251592</v>
      </c>
      <c r="D13" s="3">
        <v>2460920.8943683598</v>
      </c>
      <c r="E13" s="3">
        <v>3.8204398346815499E-4</v>
      </c>
      <c r="F13" s="3">
        <f t="shared" si="0"/>
        <v>5.0244473298080266</v>
      </c>
      <c r="G13">
        <f t="shared" si="1"/>
        <v>14.5</v>
      </c>
      <c r="H13">
        <f t="shared" si="2"/>
        <v>0.34651360895227767</v>
      </c>
      <c r="I13">
        <f t="shared" si="3"/>
        <v>133</v>
      </c>
      <c r="J13" s="3">
        <f t="shared" si="4"/>
        <v>1.7094957996732774E-4</v>
      </c>
      <c r="K13" s="1">
        <f t="shared" si="5"/>
        <v>14.770043709177116</v>
      </c>
      <c r="L13">
        <f t="shared" si="6"/>
        <v>33.008600171648595</v>
      </c>
    </row>
    <row r="14" spans="1:23" x14ac:dyDescent="0.25">
      <c r="A14" s="4">
        <v>2460878.7689165398</v>
      </c>
      <c r="B14" s="2">
        <v>14.069548144016199</v>
      </c>
    </row>
    <row r="15" spans="1:23" x14ac:dyDescent="0.25">
      <c r="A15" s="4">
        <v>2460878.7801671899</v>
      </c>
      <c r="B15" s="2">
        <v>14.2620976925971</v>
      </c>
      <c r="F15" s="3"/>
      <c r="J15" s="5"/>
    </row>
    <row r="16" spans="1:23" x14ac:dyDescent="0.25">
      <c r="A16" s="4">
        <v>2460878.7913479698</v>
      </c>
      <c r="B16" s="2">
        <v>14.4814732811866</v>
      </c>
      <c r="D16" s="7" t="s">
        <v>3</v>
      </c>
    </row>
    <row r="17" spans="1:12" x14ac:dyDescent="0.25">
      <c r="A17" s="4">
        <v>2460878.8025986901</v>
      </c>
      <c r="B17" s="2">
        <v>14.579322765521299</v>
      </c>
      <c r="D17" s="6">
        <v>2460886.7698633699</v>
      </c>
      <c r="E17" s="6">
        <v>9.2265459232666099E-4</v>
      </c>
      <c r="F17" s="3"/>
      <c r="I17">
        <f t="shared" ref="I17" si="7">ROUND((D17-$F$1)/$F$2*2,0)/2</f>
        <v>34.5</v>
      </c>
      <c r="J17" s="3">
        <f t="shared" ref="J17" si="8">(D17-$F$1)-I17*$F$2</f>
        <v>5.3365328752619234E-4</v>
      </c>
      <c r="K17" s="1">
        <f t="shared" ref="K17:K26" si="9">J17*86400</f>
        <v>46.107644042263018</v>
      </c>
      <c r="L17">
        <f t="shared" ref="L17" si="10">E17*24*3600</f>
        <v>79.717356777023511</v>
      </c>
    </row>
    <row r="18" spans="1:12" x14ac:dyDescent="0.25">
      <c r="A18" s="4">
        <v>2460878.8138494999</v>
      </c>
      <c r="B18" s="2">
        <v>14.4654809960064</v>
      </c>
      <c r="D18" s="6">
        <v>2460891.7922617099</v>
      </c>
      <c r="E18" s="6">
        <v>9.2743618893428696E-4</v>
      </c>
      <c r="F18" s="3">
        <f t="shared" ref="F18:F26" si="11">D18-D17</f>
        <v>5.0223983400501311</v>
      </c>
      <c r="G18">
        <f t="shared" ref="G18:G26" si="12">ROUND(F18/$F$2*2,0)/2</f>
        <v>14.5</v>
      </c>
      <c r="H18">
        <f t="shared" ref="H18:H26" si="13">F18/G18</f>
        <v>0.34637229931380215</v>
      </c>
      <c r="I18">
        <f t="shared" ref="I18:I26" si="14">ROUND((D18-$F$1)/$F$2*2,0)/2</f>
        <v>49</v>
      </c>
      <c r="J18" s="3">
        <f t="shared" ref="J18:J26" si="15">(D18-$F$1)-I18*$F$2</f>
        <v>-5.2568745374870218E-4</v>
      </c>
      <c r="K18" s="1">
        <f t="shared" si="9"/>
        <v>-45.419396003887869</v>
      </c>
      <c r="L18">
        <f t="shared" ref="L18:L26" si="16">E18*24*3600</f>
        <v>80.130486723922402</v>
      </c>
    </row>
    <row r="19" spans="1:12" x14ac:dyDescent="0.25">
      <c r="A19" s="4">
        <v>2460878.8250999502</v>
      </c>
      <c r="B19" s="2">
        <v>14.2483879954498</v>
      </c>
      <c r="D19" s="6">
        <v>2460902.8792402302</v>
      </c>
      <c r="E19" s="6">
        <v>5.1535165732716605E-4</v>
      </c>
      <c r="F19" s="3">
        <f t="shared" si="11"/>
        <v>11.086978520266712</v>
      </c>
      <c r="G19">
        <f t="shared" si="12"/>
        <v>32</v>
      </c>
      <c r="H19">
        <f t="shared" si="13"/>
        <v>0.34646807875833474</v>
      </c>
      <c r="I19">
        <f t="shared" si="14"/>
        <v>81</v>
      </c>
      <c r="J19" s="3">
        <f t="shared" si="15"/>
        <v>2.0139934227714207E-4</v>
      </c>
      <c r="K19" s="1">
        <f t="shared" si="9"/>
        <v>17.400903172745075</v>
      </c>
      <c r="L19">
        <f t="shared" si="16"/>
        <v>44.526383193067147</v>
      </c>
    </row>
    <row r="20" spans="1:12" x14ac:dyDescent="0.25">
      <c r="A20" s="4">
        <v>2460878.8362348899</v>
      </c>
      <c r="B20" s="2">
        <v>14.086476830095799</v>
      </c>
      <c r="D20" s="6">
        <v>2460903.7457697699</v>
      </c>
      <c r="E20" s="6">
        <v>6.2455756415064501E-4</v>
      </c>
      <c r="F20" s="3">
        <f t="shared" si="11"/>
        <v>0.86652953969314694</v>
      </c>
      <c r="G20">
        <f t="shared" si="12"/>
        <v>2.5</v>
      </c>
      <c r="H20">
        <f t="shared" si="13"/>
        <v>0.34661181587725876</v>
      </c>
      <c r="I20">
        <f t="shared" si="14"/>
        <v>83.5</v>
      </c>
      <c r="J20" s="3">
        <f t="shared" si="15"/>
        <v>6.1754579552442124E-4</v>
      </c>
      <c r="K20" s="1">
        <f t="shared" si="9"/>
        <v>53.355956733309995</v>
      </c>
      <c r="L20">
        <f t="shared" si="16"/>
        <v>53.961773542615731</v>
      </c>
    </row>
    <row r="21" spans="1:12" x14ac:dyDescent="0.25">
      <c r="A21" s="4">
        <v>2460878.8474623901</v>
      </c>
      <c r="B21" s="2">
        <v>14.020170895253599</v>
      </c>
      <c r="D21" s="6">
        <v>2460906.6905189501</v>
      </c>
      <c r="E21" s="6">
        <v>5.9154407569644103E-4</v>
      </c>
      <c r="F21" s="3">
        <f t="shared" si="11"/>
        <v>2.9447491802275181</v>
      </c>
      <c r="G21">
        <f t="shared" si="12"/>
        <v>8.5</v>
      </c>
      <c r="H21">
        <f t="shared" si="13"/>
        <v>0.34644108002676682</v>
      </c>
      <c r="I21">
        <f t="shared" si="14"/>
        <v>92</v>
      </c>
      <c r="J21" s="3">
        <f t="shared" si="15"/>
        <v>5.8118900739145829E-4</v>
      </c>
      <c r="K21" s="1">
        <f t="shared" si="9"/>
        <v>50.214730238621996</v>
      </c>
      <c r="L21">
        <f t="shared" si="16"/>
        <v>51.109408140172505</v>
      </c>
    </row>
    <row r="22" spans="1:12" x14ac:dyDescent="0.25">
      <c r="D22" s="6">
        <v>2460906.8626216301</v>
      </c>
      <c r="E22" s="6">
        <v>6.0429931881660396E-4</v>
      </c>
      <c r="F22" s="3">
        <f t="shared" si="11"/>
        <v>0.17210267996415496</v>
      </c>
      <c r="G22">
        <f t="shared" si="12"/>
        <v>0.5</v>
      </c>
      <c r="H22">
        <f t="shared" si="13"/>
        <v>0.34420535992830992</v>
      </c>
      <c r="I22">
        <f t="shared" si="14"/>
        <v>92.5</v>
      </c>
      <c r="J22" s="3">
        <f t="shared" si="15"/>
        <v>-5.3880967643493705E-4</v>
      </c>
      <c r="K22" s="1">
        <f t="shared" si="9"/>
        <v>-46.553156043978561</v>
      </c>
      <c r="L22">
        <f t="shared" si="16"/>
        <v>52.211461145754583</v>
      </c>
    </row>
    <row r="23" spans="1:12" x14ac:dyDescent="0.25">
      <c r="A23" s="4">
        <v>2460886.7255309001</v>
      </c>
      <c r="B23" s="2">
        <v>13.978077245102501</v>
      </c>
      <c r="D23" s="6">
        <v>2460910.8473144402</v>
      </c>
      <c r="E23" s="6">
        <v>4.7884720065864797E-4</v>
      </c>
      <c r="F23" s="3">
        <f t="shared" si="11"/>
        <v>3.9846928101032972</v>
      </c>
      <c r="G23">
        <f t="shared" si="12"/>
        <v>11.5</v>
      </c>
      <c r="H23">
        <f t="shared" si="13"/>
        <v>0.3464950269655041</v>
      </c>
      <c r="I23">
        <f t="shared" si="14"/>
        <v>104</v>
      </c>
      <c r="J23" s="3">
        <f t="shared" si="15"/>
        <v>3.2391523333785699E-5</v>
      </c>
      <c r="K23" s="1">
        <f t="shared" si="9"/>
        <v>2.7986276160390844</v>
      </c>
      <c r="L23">
        <f t="shared" si="16"/>
        <v>41.372398136907186</v>
      </c>
    </row>
    <row r="24" spans="1:12" x14ac:dyDescent="0.25">
      <c r="A24" s="4">
        <v>2460886.73678105</v>
      </c>
      <c r="B24" s="2">
        <v>14.0740695473151</v>
      </c>
      <c r="D24" s="6">
        <v>2460911.7140376898</v>
      </c>
      <c r="E24" s="6">
        <v>7.9068447517786401E-4</v>
      </c>
      <c r="F24" s="3">
        <f t="shared" si="11"/>
        <v>0.8667232496663928</v>
      </c>
      <c r="G24">
        <f t="shared" si="12"/>
        <v>2.5</v>
      </c>
      <c r="H24">
        <f t="shared" si="13"/>
        <v>0.34668929986655711</v>
      </c>
      <c r="I24">
        <f t="shared" si="14"/>
        <v>106.5</v>
      </c>
      <c r="J24" s="3">
        <f t="shared" si="15"/>
        <v>6.4224794983402944E-4</v>
      </c>
      <c r="K24" s="1">
        <f t="shared" si="9"/>
        <v>55.490222865660144</v>
      </c>
      <c r="L24">
        <f t="shared" si="16"/>
        <v>68.315138655367448</v>
      </c>
    </row>
    <row r="25" spans="1:12" x14ac:dyDescent="0.25">
      <c r="A25" s="4">
        <v>2460886.7481007101</v>
      </c>
      <c r="B25" s="2">
        <v>14.272934002915299</v>
      </c>
      <c r="D25" s="6">
        <v>2460915.8702480099</v>
      </c>
      <c r="E25" s="6">
        <v>5.0043248332300703E-4</v>
      </c>
      <c r="F25" s="3">
        <f t="shared" si="11"/>
        <v>4.1562103200703859</v>
      </c>
      <c r="G25">
        <f t="shared" si="12"/>
        <v>12</v>
      </c>
      <c r="H25">
        <f t="shared" si="13"/>
        <v>0.34635086000586551</v>
      </c>
      <c r="I25">
        <f t="shared" si="14"/>
        <v>118.5</v>
      </c>
      <c r="J25" s="3">
        <f t="shared" si="15"/>
        <v>-4.9171953128990253E-4</v>
      </c>
      <c r="K25" s="1">
        <f t="shared" si="9"/>
        <v>-42.484567503447579</v>
      </c>
      <c r="L25">
        <f t="shared" si="16"/>
        <v>43.237366559107812</v>
      </c>
    </row>
    <row r="26" spans="1:12" x14ac:dyDescent="0.25">
      <c r="A26" s="4">
        <v>2460886.7593514398</v>
      </c>
      <c r="B26" s="2">
        <v>14.4772926934964</v>
      </c>
      <c r="D26" s="6">
        <v>2460920.8949103202</v>
      </c>
      <c r="E26" s="6">
        <v>6.5377810449353095E-4</v>
      </c>
      <c r="F26" s="3">
        <f t="shared" si="11"/>
        <v>5.0246623102575541</v>
      </c>
      <c r="G26">
        <f t="shared" si="12"/>
        <v>14.5</v>
      </c>
      <c r="H26">
        <f t="shared" si="13"/>
        <v>0.34652843519017612</v>
      </c>
      <c r="I26">
        <f t="shared" si="14"/>
        <v>133</v>
      </c>
      <c r="J26" s="3">
        <f t="shared" si="15"/>
        <v>7.1290993486172738E-4</v>
      </c>
      <c r="K26" s="1">
        <f t="shared" si="9"/>
        <v>61.595418372053246</v>
      </c>
      <c r="L26">
        <f t="shared" si="16"/>
        <v>56.486428228241074</v>
      </c>
    </row>
    <row r="27" spans="1:12" x14ac:dyDescent="0.25">
      <c r="A27" s="4">
        <v>2460886.7706018002</v>
      </c>
      <c r="B27" s="2">
        <v>14.567415346332099</v>
      </c>
    </row>
    <row r="28" spans="1:12" x14ac:dyDescent="0.25">
      <c r="A28" s="4">
        <v>2460886.7818054599</v>
      </c>
      <c r="B28" s="2">
        <v>14.422809279408099</v>
      </c>
    </row>
    <row r="29" spans="1:12" x14ac:dyDescent="0.25">
      <c r="A29" s="4">
        <v>2460886.7929632901</v>
      </c>
      <c r="B29" s="2">
        <v>14.189858918872799</v>
      </c>
      <c r="D29" t="s">
        <v>4</v>
      </c>
    </row>
    <row r="30" spans="1:12" x14ac:dyDescent="0.25">
      <c r="A30" s="4">
        <v>2460886.8042830001</v>
      </c>
      <c r="B30" s="2">
        <v>14.069084988093</v>
      </c>
      <c r="D30" s="3">
        <v>2460874.8161231498</v>
      </c>
      <c r="E30" s="3">
        <v>4.2749669881418298E-4</v>
      </c>
      <c r="I30">
        <f t="shared" ref="I30" si="17">ROUND((D30-$F$1)/$F$2*2,0)/2</f>
        <v>0</v>
      </c>
      <c r="J30" s="3">
        <f t="shared" ref="J30" si="18">(D30-$F$1)-I30*$F$2</f>
        <v>-8.4174005314707756E-4</v>
      </c>
      <c r="K30" s="1">
        <f t="shared" ref="K30:K39" si="19">J30*86400</f>
        <v>-72.726340591907501</v>
      </c>
      <c r="L30">
        <f t="shared" ref="L30" si="20">E30*24*3600</f>
        <v>36.935714777545407</v>
      </c>
    </row>
    <row r="31" spans="1:12" x14ac:dyDescent="0.25">
      <c r="A31" s="4">
        <v>2460886.81555621</v>
      </c>
      <c r="B31" s="2">
        <v>13.9814470468521</v>
      </c>
      <c r="D31" s="3">
        <v>2460878.8015023498</v>
      </c>
      <c r="E31" s="3">
        <v>4.8327850602900702E-4</v>
      </c>
      <c r="F31" s="3">
        <f t="shared" ref="F31:F39" si="21">D31-D30</f>
        <v>3.985379199963063</v>
      </c>
      <c r="G31">
        <f t="shared" ref="G31:G39" si="22">ROUND(F31/$F$2*2,0)/2</f>
        <v>11.5</v>
      </c>
      <c r="H31">
        <f t="shared" ref="H31:H39" si="23">F31/G31</f>
        <v>0.34655471304026636</v>
      </c>
      <c r="I31">
        <f t="shared" ref="I31:I39" si="24">ROUND((D31-$F$1)/$F$2*2,0)/2</f>
        <v>11.5</v>
      </c>
      <c r="J31" s="3">
        <f t="shared" ref="J31:J39" si="25">(D31-$F$1)-I31*$F$2</f>
        <v>4.1585100638741324E-4</v>
      </c>
      <c r="K31" s="1">
        <f t="shared" si="19"/>
        <v>35.929526951872504</v>
      </c>
      <c r="L31">
        <f t="shared" ref="L31:L39" si="26">E31*24*3600</f>
        <v>41.755262920906205</v>
      </c>
    </row>
    <row r="32" spans="1:12" x14ac:dyDescent="0.25">
      <c r="D32" s="3">
        <v>2460894.7371390499</v>
      </c>
      <c r="E32" s="3">
        <v>3.4776880163122899E-4</v>
      </c>
      <c r="F32" s="3">
        <f t="shared" si="21"/>
        <v>15.935636700130999</v>
      </c>
      <c r="G32">
        <f t="shared" si="22"/>
        <v>46</v>
      </c>
      <c r="H32">
        <f t="shared" si="23"/>
        <v>0.34642688478545652</v>
      </c>
      <c r="I32">
        <f t="shared" si="24"/>
        <v>57.5</v>
      </c>
      <c r="J32" s="3">
        <f t="shared" si="25"/>
        <v>-4.3388447672754182E-4</v>
      </c>
      <c r="K32" s="1">
        <f t="shared" si="19"/>
        <v>-37.487618789259614</v>
      </c>
      <c r="L32">
        <f t="shared" si="26"/>
        <v>30.047224460938189</v>
      </c>
    </row>
    <row r="33" spans="1:12" x14ac:dyDescent="0.25">
      <c r="A33" s="4">
        <v>2460903.7027430399</v>
      </c>
      <c r="B33" s="2">
        <v>13.986561818782601</v>
      </c>
      <c r="D33" s="3">
        <v>2460906.68992041</v>
      </c>
      <c r="E33" s="3">
        <v>9.3497501628107404E-4</v>
      </c>
      <c r="F33" s="3">
        <f t="shared" si="21"/>
        <v>11.952781360130757</v>
      </c>
      <c r="G33">
        <f t="shared" si="22"/>
        <v>34.5</v>
      </c>
      <c r="H33">
        <f t="shared" si="23"/>
        <v>0.34645743072842772</v>
      </c>
      <c r="I33">
        <f t="shared" si="24"/>
        <v>92</v>
      </c>
      <c r="J33" s="3">
        <f t="shared" si="25"/>
        <v>-1.7351056555980904E-5</v>
      </c>
      <c r="K33" s="1">
        <f t="shared" si="19"/>
        <v>-1.4991312864367501</v>
      </c>
      <c r="L33">
        <f t="shared" si="26"/>
        <v>80.781841406684805</v>
      </c>
    </row>
    <row r="34" spans="1:12" x14ac:dyDescent="0.25">
      <c r="A34" s="4">
        <v>2460903.7139014401</v>
      </c>
      <c r="B34" s="2">
        <v>14.0930867711524</v>
      </c>
      <c r="D34" s="3">
        <v>2460906.8626153702</v>
      </c>
      <c r="E34" s="3">
        <v>3.5410890306415699E-4</v>
      </c>
      <c r="F34" s="3">
        <f t="shared" si="21"/>
        <v>0.17269496014341712</v>
      </c>
      <c r="G34">
        <f t="shared" si="22"/>
        <v>0.5</v>
      </c>
      <c r="H34">
        <f t="shared" si="23"/>
        <v>0.34538992028683424</v>
      </c>
      <c r="I34">
        <f t="shared" si="24"/>
        <v>92.5</v>
      </c>
      <c r="J34" s="3">
        <f t="shared" si="25"/>
        <v>-5.4506956112021498E-4</v>
      </c>
      <c r="K34" s="1">
        <f t="shared" si="19"/>
        <v>-47.094010080786575</v>
      </c>
      <c r="L34">
        <f t="shared" si="26"/>
        <v>30.595009224743166</v>
      </c>
    </row>
    <row r="35" spans="1:12" x14ac:dyDescent="0.25">
      <c r="A35" s="4">
        <v>2460903.7250817199</v>
      </c>
      <c r="B35" s="2">
        <v>14.258277550130201</v>
      </c>
      <c r="D35" s="3">
        <v>2460910.8469862398</v>
      </c>
      <c r="E35" s="3">
        <v>9.0334326152314301E-4</v>
      </c>
      <c r="F35" s="3">
        <f t="shared" si="21"/>
        <v>3.9843708695843816</v>
      </c>
      <c r="G35">
        <f t="shared" si="22"/>
        <v>11.5</v>
      </c>
      <c r="H35">
        <f t="shared" si="23"/>
        <v>0.3464670321377723</v>
      </c>
      <c r="I35">
        <f t="shared" si="24"/>
        <v>104</v>
      </c>
      <c r="J35" s="3">
        <f t="shared" si="25"/>
        <v>-2.9580888026714547E-4</v>
      </c>
      <c r="K35" s="1">
        <f t="shared" si="19"/>
        <v>-25.557887255081368</v>
      </c>
      <c r="L35">
        <f t="shared" si="26"/>
        <v>78.048857795599559</v>
      </c>
    </row>
    <row r="36" spans="1:12" x14ac:dyDescent="0.25">
      <c r="A36" s="4">
        <v>2460903.7340177</v>
      </c>
      <c r="B36" s="2">
        <v>14.4224045120013</v>
      </c>
      <c r="D36" s="3">
        <v>2460911.7134263702</v>
      </c>
      <c r="E36" s="3">
        <v>7.6542957212095205E-4</v>
      </c>
      <c r="F36" s="3">
        <f t="shared" si="21"/>
        <v>0.86644013039767742</v>
      </c>
      <c r="G36">
        <f t="shared" si="22"/>
        <v>2.5</v>
      </c>
      <c r="H36">
        <f t="shared" si="23"/>
        <v>0.34657605215907095</v>
      </c>
      <c r="I36">
        <f t="shared" si="24"/>
        <v>106.5</v>
      </c>
      <c r="J36" s="3">
        <f t="shared" si="25"/>
        <v>3.0928277517716651E-5</v>
      </c>
      <c r="K36" s="1">
        <f t="shared" si="19"/>
        <v>2.6722031775307187</v>
      </c>
      <c r="L36">
        <f t="shared" si="26"/>
        <v>66.133115031250256</v>
      </c>
    </row>
    <row r="37" spans="1:12" x14ac:dyDescent="0.25">
      <c r="A37" s="4">
        <v>2460903.74517552</v>
      </c>
      <c r="B37" s="2">
        <v>14.5341756350089</v>
      </c>
      <c r="D37" s="3">
        <v>2460915.8708541598</v>
      </c>
      <c r="E37" s="3">
        <v>4.4819916809391198E-4</v>
      </c>
      <c r="F37" s="3">
        <f t="shared" si="21"/>
        <v>4.1574277896434069</v>
      </c>
      <c r="G37">
        <f t="shared" si="22"/>
        <v>12</v>
      </c>
      <c r="H37">
        <f t="shared" si="23"/>
        <v>0.34645231580361724</v>
      </c>
      <c r="I37">
        <f t="shared" si="24"/>
        <v>118.5</v>
      </c>
      <c r="J37" s="3">
        <f t="shared" si="25"/>
        <v>1.1443036941471973E-4</v>
      </c>
      <c r="K37" s="1">
        <f t="shared" si="19"/>
        <v>9.8867839174317851</v>
      </c>
      <c r="L37">
        <f t="shared" si="26"/>
        <v>38.724408123313999</v>
      </c>
    </row>
    <row r="38" spans="1:12" x14ac:dyDescent="0.25">
      <c r="A38" s="4">
        <v>2460903.7564254398</v>
      </c>
      <c r="B38" s="2">
        <v>14.4169835182515</v>
      </c>
      <c r="D38" s="3">
        <v>2460920.8944233698</v>
      </c>
      <c r="E38" s="3">
        <v>5.6546202410485003E-4</v>
      </c>
      <c r="F38" s="3">
        <f t="shared" si="21"/>
        <v>5.0235692099668086</v>
      </c>
      <c r="G38">
        <f t="shared" si="22"/>
        <v>14.5</v>
      </c>
      <c r="H38">
        <f t="shared" si="23"/>
        <v>0.34645304896322815</v>
      </c>
      <c r="I38">
        <f t="shared" si="24"/>
        <v>133</v>
      </c>
      <c r="J38" s="3">
        <f t="shared" si="25"/>
        <v>2.259595448208529E-4</v>
      </c>
      <c r="K38" s="1">
        <f t="shared" si="19"/>
        <v>19.52290467252169</v>
      </c>
      <c r="L38">
        <f t="shared" si="26"/>
        <v>48.85591888265904</v>
      </c>
    </row>
    <row r="39" spans="1:12" x14ac:dyDescent="0.25">
      <c r="A39" s="4">
        <v>2460903.7676762198</v>
      </c>
      <c r="B39" s="2">
        <v>14.2566724068298</v>
      </c>
      <c r="D39" s="3">
        <v>2460928.6888225898</v>
      </c>
      <c r="E39" s="3">
        <v>5.1066540411464202E-4</v>
      </c>
      <c r="F39" s="3">
        <f t="shared" si="21"/>
        <v>7.7943992200307548</v>
      </c>
      <c r="G39">
        <f t="shared" si="22"/>
        <v>22.5</v>
      </c>
      <c r="H39">
        <f t="shared" si="23"/>
        <v>0.34641774311247797</v>
      </c>
      <c r="I39">
        <f t="shared" si="24"/>
        <v>155.5</v>
      </c>
      <c r="J39" s="3">
        <f t="shared" si="25"/>
        <v>-3.9535958350711553E-4</v>
      </c>
      <c r="K39" s="1">
        <f t="shared" si="19"/>
        <v>-34.159068015014782</v>
      </c>
      <c r="L39">
        <f t="shared" si="26"/>
        <v>44.121490915505071</v>
      </c>
    </row>
    <row r="40" spans="1:12" x14ac:dyDescent="0.25">
      <c r="A40" s="4">
        <v>2460903.77881072</v>
      </c>
      <c r="B40" s="2">
        <v>14.0526667821629</v>
      </c>
    </row>
    <row r="41" spans="1:12" x14ac:dyDescent="0.25">
      <c r="A41" s="4">
        <v>2460903.7900379798</v>
      </c>
      <c r="B41" s="2">
        <v>13.974296219777701</v>
      </c>
      <c r="K41" s="3">
        <f>SLOPE(K3:K39,I3:I39)</f>
        <v>-7.2040319013839259E-12</v>
      </c>
    </row>
    <row r="42" spans="1:12" x14ac:dyDescent="0.25">
      <c r="K42" s="3">
        <f>INTERCEPT(K3:K39,I3:I39)</f>
        <v>4.0825941865934429E-4</v>
      </c>
    </row>
    <row r="43" spans="1:12" x14ac:dyDescent="0.25">
      <c r="A43" s="4">
        <v>2460906.6456829002</v>
      </c>
      <c r="B43" s="2">
        <v>14.1015604958325</v>
      </c>
    </row>
    <row r="44" spans="1:12" x14ac:dyDescent="0.25">
      <c r="A44" s="4">
        <v>2460906.65698004</v>
      </c>
      <c r="B44" s="2">
        <v>14.2095816243902</v>
      </c>
    </row>
    <row r="45" spans="1:12" x14ac:dyDescent="0.25">
      <c r="A45" s="4">
        <v>2460906.6681604502</v>
      </c>
      <c r="B45" s="2">
        <v>14.442014611298401</v>
      </c>
    </row>
    <row r="46" spans="1:12" x14ac:dyDescent="0.25">
      <c r="A46" s="4">
        <v>2460906.6793419002</v>
      </c>
      <c r="B46" s="2">
        <v>14.7357961724252</v>
      </c>
    </row>
    <row r="47" spans="1:12" x14ac:dyDescent="0.25">
      <c r="A47" s="4">
        <v>2460906.6905240999</v>
      </c>
      <c r="B47" s="2">
        <v>14.946409064651901</v>
      </c>
    </row>
    <row r="48" spans="1:12" x14ac:dyDescent="0.25">
      <c r="A48" s="4">
        <v>2460906.7017034199</v>
      </c>
      <c r="B48" s="2">
        <v>14.7054437789674</v>
      </c>
    </row>
    <row r="49" spans="1:2" x14ac:dyDescent="0.25">
      <c r="A49" s="4">
        <v>2460906.7129075001</v>
      </c>
      <c r="B49" s="2">
        <v>14.392668490636099</v>
      </c>
    </row>
    <row r="50" spans="1:2" x14ac:dyDescent="0.25">
      <c r="A50" s="4">
        <v>2460906.7241344899</v>
      </c>
      <c r="B50" s="2">
        <v>14.1708788811461</v>
      </c>
    </row>
    <row r="51" spans="1:2" x14ac:dyDescent="0.25">
      <c r="A51" s="4">
        <v>2460906.7353868498</v>
      </c>
      <c r="B51" s="2">
        <v>14.0448258868813</v>
      </c>
    </row>
    <row r="53" spans="1:2" x14ac:dyDescent="0.25">
      <c r="A53" s="4">
        <v>2460906.8199234698</v>
      </c>
      <c r="B53" s="2">
        <v>13.9760726628576</v>
      </c>
    </row>
    <row r="54" spans="1:2" x14ac:dyDescent="0.25">
      <c r="A54" s="4">
        <v>2460906.8311041198</v>
      </c>
      <c r="B54" s="2">
        <v>14.0993720591</v>
      </c>
    </row>
    <row r="55" spans="1:2" x14ac:dyDescent="0.25">
      <c r="A55" s="4">
        <v>2460906.8423777302</v>
      </c>
      <c r="B55" s="2">
        <v>14.2339381478061</v>
      </c>
    </row>
    <row r="56" spans="1:2" x14ac:dyDescent="0.25">
      <c r="A56" s="4">
        <v>2460906.85362801</v>
      </c>
      <c r="B56" s="2">
        <v>14.447899290023001</v>
      </c>
    </row>
    <row r="57" spans="1:2" x14ac:dyDescent="0.25">
      <c r="A57" s="4">
        <v>2460906.86490126</v>
      </c>
      <c r="B57" s="2">
        <v>14.5229007746679</v>
      </c>
    </row>
    <row r="58" spans="1:2" x14ac:dyDescent="0.25">
      <c r="A58" s="4">
        <v>2460906.8762242799</v>
      </c>
      <c r="B58" s="2">
        <v>14.368319560496801</v>
      </c>
    </row>
    <row r="59" spans="1:2" x14ac:dyDescent="0.25">
      <c r="A59" s="4">
        <v>2460906.88754061</v>
      </c>
      <c r="B59" s="2">
        <v>14.178748683639</v>
      </c>
    </row>
    <row r="60" spans="1:2" x14ac:dyDescent="0.25">
      <c r="A60" s="4">
        <v>2460906.8988148002</v>
      </c>
      <c r="B60" s="2">
        <v>14.0383144226392</v>
      </c>
    </row>
    <row r="61" spans="1:2" x14ac:dyDescent="0.25">
      <c r="A61" s="4">
        <v>2460906.9101336598</v>
      </c>
      <c r="B61" s="2">
        <v>13.9609717047255</v>
      </c>
    </row>
    <row r="63" spans="1:2" x14ac:dyDescent="0.25">
      <c r="A63" s="4">
        <v>2460910.8011973398</v>
      </c>
      <c r="B63" s="2">
        <v>14.0715247167272</v>
      </c>
    </row>
    <row r="64" spans="1:2" x14ac:dyDescent="0.25">
      <c r="A64" s="4">
        <v>2460910.8124939902</v>
      </c>
      <c r="B64" s="2">
        <v>14.2067500864386</v>
      </c>
    </row>
    <row r="65" spans="1:2" x14ac:dyDescent="0.25">
      <c r="A65" s="4">
        <v>2460910.8238369701</v>
      </c>
      <c r="B65" s="2">
        <v>14.3798980365786</v>
      </c>
    </row>
    <row r="66" spans="1:2" x14ac:dyDescent="0.25">
      <c r="A66" s="4">
        <v>2460910.8349717599</v>
      </c>
      <c r="B66" s="2">
        <v>14.6915234572876</v>
      </c>
    </row>
    <row r="67" spans="1:2" x14ac:dyDescent="0.25">
      <c r="A67" s="4">
        <v>2460910.8460834799</v>
      </c>
      <c r="B67" s="2">
        <v>14.970935543440101</v>
      </c>
    </row>
    <row r="68" spans="1:2" x14ac:dyDescent="0.25">
      <c r="A68" s="4">
        <v>2460910.8573805499</v>
      </c>
      <c r="B68" s="2">
        <v>14.7572220058321</v>
      </c>
    </row>
    <row r="69" spans="1:2" x14ac:dyDescent="0.25">
      <c r="A69" s="4">
        <v>2460910.86853866</v>
      </c>
      <c r="B69" s="2">
        <v>14.441593866691401</v>
      </c>
    </row>
    <row r="70" spans="1:2" x14ac:dyDescent="0.25">
      <c r="A70" s="4">
        <v>2460910.8797656801</v>
      </c>
      <c r="B70" s="2">
        <v>14.1767468675466</v>
      </c>
    </row>
    <row r="71" spans="1:2" x14ac:dyDescent="0.25">
      <c r="A71" s="4">
        <v>2460910.8909694199</v>
      </c>
      <c r="B71" s="2">
        <v>14.0779104254487</v>
      </c>
    </row>
    <row r="73" spans="1:2" x14ac:dyDescent="0.25">
      <c r="A73" s="4">
        <v>2460911.6696913401</v>
      </c>
      <c r="B73" s="2">
        <v>13.961504927386899</v>
      </c>
    </row>
    <row r="74" spans="1:2" x14ac:dyDescent="0.25">
      <c r="A74" s="4">
        <v>2460911.6809415198</v>
      </c>
      <c r="B74" s="2">
        <v>14.0604964056783</v>
      </c>
    </row>
    <row r="75" spans="1:2" x14ac:dyDescent="0.25">
      <c r="A75" s="4">
        <v>2460911.6921924199</v>
      </c>
      <c r="B75" s="2">
        <v>14.2299423408581</v>
      </c>
    </row>
    <row r="76" spans="1:2" x14ac:dyDescent="0.25">
      <c r="A76" s="4">
        <v>2460911.7035124698</v>
      </c>
      <c r="B76" s="2">
        <v>14.411507241623699</v>
      </c>
    </row>
    <row r="77" spans="1:2" x14ac:dyDescent="0.25">
      <c r="A77" s="4">
        <v>2460911.71469393</v>
      </c>
      <c r="B77" s="2">
        <v>14.513340575160599</v>
      </c>
    </row>
    <row r="78" spans="1:2" x14ac:dyDescent="0.25">
      <c r="A78" s="4">
        <v>2460911.72587479</v>
      </c>
      <c r="B78" s="2">
        <v>14.389535585860299</v>
      </c>
    </row>
    <row r="79" spans="1:2" x14ac:dyDescent="0.25">
      <c r="A79" s="4">
        <v>2460911.7371947798</v>
      </c>
      <c r="B79" s="2">
        <v>14.1791439013223</v>
      </c>
    </row>
    <row r="80" spans="1:2" x14ac:dyDescent="0.25">
      <c r="A80" s="4">
        <v>2460911.74837542</v>
      </c>
      <c r="B80" s="2">
        <v>14.0377188502757</v>
      </c>
    </row>
    <row r="81" spans="1:2" x14ac:dyDescent="0.25">
      <c r="A81" s="4">
        <v>2460911.7596036</v>
      </c>
      <c r="B81" s="2">
        <v>13.962670022905</v>
      </c>
    </row>
    <row r="83" spans="1:2" x14ac:dyDescent="0.25">
      <c r="A83" s="4">
        <v>2460914.615214</v>
      </c>
      <c r="B83" s="2">
        <v>14.0986792210508</v>
      </c>
    </row>
    <row r="84" spans="1:2" x14ac:dyDescent="0.25">
      <c r="A84" s="4">
        <v>2460914.6263809502</v>
      </c>
      <c r="B84" s="2">
        <v>14.193774207137301</v>
      </c>
    </row>
    <row r="85" spans="1:2" x14ac:dyDescent="0.25">
      <c r="A85" s="4">
        <v>2460914.6375154201</v>
      </c>
      <c r="B85" s="2">
        <v>14.453810971795701</v>
      </c>
    </row>
    <row r="86" spans="1:2" x14ac:dyDescent="0.25">
      <c r="A86" s="4">
        <v>2460914.6487429198</v>
      </c>
      <c r="B86" s="2">
        <v>14.7761749525743</v>
      </c>
    </row>
    <row r="87" spans="1:2" x14ac:dyDescent="0.25">
      <c r="A87" s="4">
        <v>2460914.6599233602</v>
      </c>
      <c r="B87" s="2">
        <v>14.931125719948</v>
      </c>
    </row>
    <row r="88" spans="1:2" x14ac:dyDescent="0.25">
      <c r="A88" s="4">
        <v>2460914.6710578902</v>
      </c>
      <c r="B88" s="2">
        <v>14.7133657209706</v>
      </c>
    </row>
    <row r="89" spans="1:2" x14ac:dyDescent="0.25">
      <c r="A89" s="4">
        <v>2460914.68228488</v>
      </c>
      <c r="B89" s="2">
        <v>14.347831519444</v>
      </c>
    </row>
    <row r="90" spans="1:2" x14ac:dyDescent="0.25">
      <c r="A90" s="4">
        <v>2460914.6935123499</v>
      </c>
      <c r="B90" s="2">
        <v>14.1528053551898</v>
      </c>
    </row>
    <row r="91" spans="1:2" x14ac:dyDescent="0.25">
      <c r="A91" s="4">
        <v>2460914.7046467098</v>
      </c>
      <c r="B91" s="2">
        <v>14.034660855829999</v>
      </c>
    </row>
    <row r="93" spans="1:2" x14ac:dyDescent="0.25">
      <c r="A93" s="4">
        <v>2460915.8207363002</v>
      </c>
      <c r="B93" s="2">
        <v>13.9126116133632</v>
      </c>
    </row>
    <row r="94" spans="1:2" x14ac:dyDescent="0.25">
      <c r="A94" s="4">
        <v>2460915.8320559599</v>
      </c>
      <c r="B94" s="2">
        <v>13.988562071748101</v>
      </c>
    </row>
    <row r="95" spans="1:2" x14ac:dyDescent="0.25">
      <c r="A95" s="4">
        <v>2460915.8433066998</v>
      </c>
      <c r="B95" s="2">
        <v>14.1306149491389</v>
      </c>
    </row>
    <row r="96" spans="1:2" x14ac:dyDescent="0.25">
      <c r="A96" s="4">
        <v>2460915.8545567198</v>
      </c>
      <c r="B96" s="2">
        <v>14.3373724013305</v>
      </c>
    </row>
    <row r="97" spans="1:2" x14ac:dyDescent="0.25">
      <c r="A97" s="4">
        <v>2460915.86573778</v>
      </c>
      <c r="B97" s="2">
        <v>14.480343003647899</v>
      </c>
    </row>
    <row r="98" spans="1:2" x14ac:dyDescent="0.25">
      <c r="A98" s="4">
        <v>2460915.87687218</v>
      </c>
      <c r="B98" s="2">
        <v>14.469386779549399</v>
      </c>
    </row>
    <row r="99" spans="1:2" x14ac:dyDescent="0.25">
      <c r="A99" s="4">
        <v>2460915.8880312401</v>
      </c>
      <c r="B99" s="2">
        <v>14.2826654722624</v>
      </c>
    </row>
    <row r="100" spans="1:2" x14ac:dyDescent="0.25">
      <c r="A100" s="4">
        <v>2460915.8991645901</v>
      </c>
      <c r="B100" s="2">
        <v>14.100067110672899</v>
      </c>
    </row>
    <row r="101" spans="1:2" x14ac:dyDescent="0.25">
      <c r="A101" s="4">
        <v>2460915.9102987</v>
      </c>
      <c r="B101" s="2">
        <v>13.9801686856995</v>
      </c>
    </row>
    <row r="103" spans="1:2" x14ac:dyDescent="0.25">
      <c r="A103" s="4">
        <v>2460920.8487919001</v>
      </c>
      <c r="B103" s="2">
        <v>14.0739523295833</v>
      </c>
    </row>
    <row r="104" spans="1:2" x14ac:dyDescent="0.25">
      <c r="A104" s="4">
        <v>2460920.8599721701</v>
      </c>
      <c r="B104" s="2">
        <v>14.1691778423623</v>
      </c>
    </row>
    <row r="105" spans="1:2" x14ac:dyDescent="0.25">
      <c r="A105" s="4">
        <v>2460920.8712915801</v>
      </c>
      <c r="B105" s="2">
        <v>14.406758715029801</v>
      </c>
    </row>
    <row r="106" spans="1:2" x14ac:dyDescent="0.25">
      <c r="A106" s="4">
        <v>2460920.88251819</v>
      </c>
      <c r="B106" s="2">
        <v>14.6903825044075</v>
      </c>
    </row>
    <row r="107" spans="1:2" x14ac:dyDescent="0.25">
      <c r="A107" s="4">
        <v>2460920.8938146899</v>
      </c>
      <c r="B107" s="2">
        <v>14.948840080071999</v>
      </c>
    </row>
    <row r="108" spans="1:2" x14ac:dyDescent="0.25">
      <c r="A108" s="4">
        <v>2460920.90501846</v>
      </c>
      <c r="B108" s="2">
        <v>14.7620148388404</v>
      </c>
    </row>
    <row r="109" spans="1:2" x14ac:dyDescent="0.25">
      <c r="A109" s="4">
        <v>2460920.9163379101</v>
      </c>
      <c r="B109" s="2">
        <v>14.409956888252699</v>
      </c>
    </row>
    <row r="110" spans="1:2" x14ac:dyDescent="0.25">
      <c r="A110" s="4">
        <v>2460920.9275879599</v>
      </c>
      <c r="B110" s="2">
        <v>14.183935155504599</v>
      </c>
    </row>
    <row r="111" spans="1:2" x14ac:dyDescent="0.25">
      <c r="A111" s="4">
        <v>2460920.9389072401</v>
      </c>
      <c r="B111" s="2">
        <v>14.0812134335546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ASAS J221652+2229.6_Table_B_min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Phillips</cp:lastModifiedBy>
  <dcterms:created xsi:type="dcterms:W3CDTF">2025-10-17T15:46:26Z</dcterms:created>
  <dcterms:modified xsi:type="dcterms:W3CDTF">2025-10-17T17:43:46Z</dcterms:modified>
</cp:coreProperties>
</file>