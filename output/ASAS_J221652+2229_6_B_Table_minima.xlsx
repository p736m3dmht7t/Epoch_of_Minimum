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Visual Studio\Epoch of Minimum\"/>
    </mc:Choice>
  </mc:AlternateContent>
  <xr:revisionPtr revIDLastSave="0" documentId="8_{717AB27C-8ECC-4596-812E-D6E290915A0C}" xr6:coauthVersionLast="47" xr6:coauthVersionMax="47" xr10:uidLastSave="{00000000-0000-0000-0000-000000000000}"/>
  <bookViews>
    <workbookView xWindow="-120" yWindow="-120" windowWidth="29040" windowHeight="15720" xr2:uid="{87BB1304-7A05-478D-9B1D-A5BF4ABB6250}"/>
  </bookViews>
  <sheets>
    <sheet name="ASAS_J221652+2229_6_B_Table_min" sheetId="1" r:id="rId1"/>
  </sheets>
  <calcPr calcId="0"/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F19" i="1"/>
  <c r="F20" i="1"/>
  <c r="F21" i="1"/>
  <c r="F22" i="1"/>
  <c r="F23" i="1"/>
  <c r="F11" i="1"/>
  <c r="F10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G2" i="1" l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<sst xmlns="http://schemas.openxmlformats.org/spreadsheetml/2006/main" count="13" uniqueCount="12">
  <si>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>BJD_TDB</t>
  </si>
  <si>
    <t>Source_AMag_T1</t>
  </si>
  <si>
    <t>Used to find the orbit number</t>
  </si>
  <si>
    <t>Linear Regression</t>
  </si>
  <si>
    <t>T0:</t>
  </si>
  <si>
    <t>P:</t>
  </si>
  <si>
    <t>Time of Minima</t>
  </si>
  <si>
    <t>Std Error</t>
  </si>
  <si>
    <t>Orbit Number</t>
  </si>
  <si>
    <t>O-C</t>
  </si>
  <si>
    <t>Bmax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</si>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</sst>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"/>
    <numFmt numFmtId="169" formatCode="0.000000"/>
    <numFmt numFmtId="170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169" fontId="0" fillId="0" borderId="11" xfId="0" applyNumberFormat="1" applyBorder="1"/>
    <xf numFmtId="0" fontId="0" fillId="0" borderId="12" xfId="0" applyBorder="1"/>
    <xf numFmtId="0" fontId="0" fillId="0" borderId="10" xfId="0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169" fontId="0" fillId="0" borderId="10" xfId="0" applyNumberFormat="1" applyBorder="1"/>
    <xf numFmtId="169" fontId="0" fillId="0" borderId="14" xfId="0" applyNumberFormat="1" applyBorder="1"/>
    <xf numFmtId="169" fontId="0" fillId="0" borderId="15" xfId="0" applyNumberFormat="1" applyBorder="1"/>
    <xf numFmtId="10" fontId="0" fillId="0" borderId="14" xfId="0" applyNumberFormat="1" applyBorder="1"/>
    <xf numFmtId="0" fontId="0" fillId="0" borderId="14" xfId="0" applyBorder="1"/>
    <xf numFmtId="0" fontId="0" fillId="0" borderId="15" xfId="0" applyBorder="1"/>
    <xf numFmtId="11" fontId="0" fillId="0" borderId="13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Typical Primary Minima Source_AMag_T1</a:t>
            </a:r>
          </a:p>
          <a:p>
            <a:pPr>
              <a:defRPr/>
            </a:pPr>
            <a:r>
              <a:rPr lang="en-US"/>
              <a:t>versus BJD_TDB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'ASAS_J221652+2229_6_B_Table_min'!$B$1</c:f>
              <c:strCache>
                <c:ptCount val="1"/>
                <c:pt idx="0">
                  <c:v>Source_AMag_T1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'ASAS_J221652+2229_6_B_Table_min'!$A$2:$A$10</c:f>
              <c:numCache>
                <c:formatCode>0.000000</c:formatCode>
                <c:ptCount val="9"/>
                <c:pt idx="0">
                  <c:v>2460874.7698877999</c:v>
                </c:pt>
                <c:pt idx="1">
                  <c:v>2460874.7811161</c:v>
                </c:pt>
                <c:pt idx="2">
                  <c:v>2460874.7924592001</c:v>
                </c:pt>
                <c:pt idx="3">
                  <c:v>2460874.8036175999</c:v>
                </c:pt>
                <c:pt idx="4">
                  <c:v>2460874.8147526002</c:v>
                </c:pt>
                <c:pt idx="5">
                  <c:v>2460874.8259808999</c:v>
                </c:pt>
                <c:pt idx="6">
                  <c:v>2460874.8371854001</c:v>
                </c:pt>
                <c:pt idx="7">
                  <c:v>2460874.8483901001</c:v>
                </c:pt>
                <c:pt idx="8">
                  <c:v>2460874.8576729</c:v>
                </c:pt>
              </c:numCache>
            </c:numRef>
          </c:xVal>
          <c:yVal>
            <c:numRef>
              <c:f>'ASAS_J221652+2229_6_B_Table_min'!$B$2:$B$10</c:f>
              <c:numCache>
                <c:formatCode>0.000</c:formatCode>
                <c:ptCount val="9"/>
                <c:pt idx="0">
                  <c:v>14.0824</c:v>
                </c:pt>
                <c:pt idx="1">
                  <c:v>14.167999999999999</c:v>
                </c:pt>
                <c:pt idx="2">
                  <c:v>14.340400000000001</c:v>
                </c:pt>
                <c:pt idx="3">
                  <c:v>14.685</c:v>
                </c:pt>
                <c:pt idx="4">
                  <c:v>14.9544</c:v>
                </c:pt>
                <c:pt idx="5">
                  <c:v>14.759600000000001</c:v>
                </c:pt>
                <c:pt idx="6">
                  <c:v>14.433400000000001</c:v>
                </c:pt>
                <c:pt idx="7">
                  <c:v>14.1815</c:v>
                </c:pt>
                <c:pt idx="8">
                  <c:v>14.0823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F-4B1A-BD67-09E7E88D1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0976"/>
        <c:axId val="148610016"/>
      </c:scatterChart>
      <c:valAx>
        <c:axId val="148610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0016"/>
        <c:crosses val="autoZero"/>
        <c:crossBetween val="midCat"/>
      </c:valAx>
      <c:valAx>
        <c:axId val="1486100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O-C versus Orbit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'ASAS_J221652+2229_6_B_Table_min'!$G$9</c:f>
              <c:strCache>
                <c:ptCount val="1"/>
                <c:pt idx="0">
                  <c:v>O-C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'ASAS_J221652+2229_6_B_Table_min'!$E$10:$E$23</c:f>
                <c:numCache>
                  <c:formatCode>General</c:formatCode>
                  <c:ptCount val="14"/>
                  <c:pt idx="0">
                    <c:v>6.4400000000000004E-4</c:v>
                  </c:pt>
                  <c:pt idx="1">
                    <c:v>7.1900000000000002E-4</c:v>
                  </c:pt>
                  <c:pt idx="2">
                    <c:v>6.6100000000000002E-4</c:v>
                  </c:pt>
                  <c:pt idx="3">
                    <c:v>5.5199999999999997E-4</c:v>
                  </c:pt>
                  <c:pt idx="4">
                    <c:v>7.94E-4</c:v>
                  </c:pt>
                  <c:pt idx="5">
                    <c:v>2.4000000000000001E-4</c:v>
                  </c:pt>
                  <c:pt idx="6">
                    <c:v>3.2000000000000003E-4</c:v>
                  </c:pt>
                  <c:pt idx="7">
                    <c:v>3.2899999999999997E-4</c:v>
                  </c:pt>
                  <c:pt idx="8">
                    <c:v>5.0500000000000002E-4</c:v>
                  </c:pt>
                  <c:pt idx="9">
                    <c:v>5.1599999999999997E-4</c:v>
                  </c:pt>
                  <c:pt idx="10">
                    <c:v>3.48E-4</c:v>
                  </c:pt>
                  <c:pt idx="11">
                    <c:v>3.28E-4</c:v>
                  </c:pt>
                  <c:pt idx="12">
                    <c:v>4.6099999999999998E-4</c:v>
                  </c:pt>
                  <c:pt idx="13">
                    <c:v>3.6099999999999999E-4</c:v>
                  </c:pt>
                </c:numCache>
              </c:numRef>
            </c:plus>
            <c:minus>
              <c:numRef>
                <c:f>'ASAS_J221652+2229_6_B_Table_min'!$E$10:$E$23</c:f>
                <c:numCache>
                  <c:formatCode>General</c:formatCode>
                  <c:ptCount val="14"/>
                  <c:pt idx="0">
                    <c:v>6.4400000000000004E-4</c:v>
                  </c:pt>
                  <c:pt idx="1">
                    <c:v>7.1900000000000002E-4</c:v>
                  </c:pt>
                  <c:pt idx="2">
                    <c:v>6.6100000000000002E-4</c:v>
                  </c:pt>
                  <c:pt idx="3">
                    <c:v>5.5199999999999997E-4</c:v>
                  </c:pt>
                  <c:pt idx="4">
                    <c:v>7.94E-4</c:v>
                  </c:pt>
                  <c:pt idx="5">
                    <c:v>2.4000000000000001E-4</c:v>
                  </c:pt>
                  <c:pt idx="6">
                    <c:v>3.2000000000000003E-4</c:v>
                  </c:pt>
                  <c:pt idx="7">
                    <c:v>3.2899999999999997E-4</c:v>
                  </c:pt>
                  <c:pt idx="8">
                    <c:v>5.0500000000000002E-4</c:v>
                  </c:pt>
                  <c:pt idx="9">
                    <c:v>5.1599999999999997E-4</c:v>
                  </c:pt>
                  <c:pt idx="10">
                    <c:v>3.48E-4</c:v>
                  </c:pt>
                  <c:pt idx="11">
                    <c:v>3.28E-4</c:v>
                  </c:pt>
                  <c:pt idx="12">
                    <c:v>4.6099999999999998E-4</c:v>
                  </c:pt>
                  <c:pt idx="13">
                    <c:v>3.6099999999999999E-4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'ASAS_J221652+2229_6_B_Table_min'!$F$10:$F$23</c:f>
              <c:numCache>
                <c:formatCode>0.0</c:formatCode>
                <c:ptCount val="14"/>
                <c:pt idx="0">
                  <c:v>0</c:v>
                </c:pt>
                <c:pt idx="1">
                  <c:v>11.5</c:v>
                </c:pt>
                <c:pt idx="2">
                  <c:v>34.5</c:v>
                </c:pt>
                <c:pt idx="3">
                  <c:v>57.5</c:v>
                </c:pt>
                <c:pt idx="4">
                  <c:v>72</c:v>
                </c:pt>
                <c:pt idx="5">
                  <c:v>81</c:v>
                </c:pt>
                <c:pt idx="6">
                  <c:v>83.5</c:v>
                </c:pt>
                <c:pt idx="7">
                  <c:v>92</c:v>
                </c:pt>
                <c:pt idx="8">
                  <c:v>92.5</c:v>
                </c:pt>
                <c:pt idx="9">
                  <c:v>104</c:v>
                </c:pt>
                <c:pt idx="10">
                  <c:v>106.5</c:v>
                </c:pt>
                <c:pt idx="11">
                  <c:v>115</c:v>
                </c:pt>
                <c:pt idx="12">
                  <c:v>118.5</c:v>
                </c:pt>
                <c:pt idx="13">
                  <c:v>133</c:v>
                </c:pt>
              </c:numCache>
            </c:numRef>
          </c:xVal>
          <c:yVal>
            <c:numRef>
              <c:f>'ASAS_J221652+2229_6_B_Table_min'!$G$10:$G$23</c:f>
              <c:numCache>
                <c:formatCode>0.000000</c:formatCode>
                <c:ptCount val="14"/>
                <c:pt idx="0">
                  <c:v>-1.323E-3</c:v>
                </c:pt>
                <c:pt idx="1">
                  <c:v>1.639E-3</c:v>
                </c:pt>
                <c:pt idx="2">
                  <c:v>-2.72E-4</c:v>
                </c:pt>
                <c:pt idx="3">
                  <c:v>5.9999999999999995E-4</c:v>
                </c:pt>
                <c:pt idx="4">
                  <c:v>-6.8800000000000003E-4</c:v>
                </c:pt>
                <c:pt idx="5">
                  <c:v>-5.8999999999999998E-5</c:v>
                </c:pt>
                <c:pt idx="6">
                  <c:v>4.84E-4</c:v>
                </c:pt>
                <c:pt idx="7">
                  <c:v>-3.3700000000000001E-4</c:v>
                </c:pt>
                <c:pt idx="8">
                  <c:v>-8.1000000000000004E-5</c:v>
                </c:pt>
                <c:pt idx="9">
                  <c:v>-3.1399999999999999E-4</c:v>
                </c:pt>
                <c:pt idx="10">
                  <c:v>4.2299999999999998E-4</c:v>
                </c:pt>
                <c:pt idx="11">
                  <c:v>2.5099999999999998E-4</c:v>
                </c:pt>
                <c:pt idx="12">
                  <c:v>-6.9200000000000002E-4</c:v>
                </c:pt>
                <c:pt idx="13">
                  <c:v>3.6999999999999999E-4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E3-47F3-9474-758B77EF3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25392"/>
        <c:axId val="157324912"/>
      </c:scatterChart>
      <c:valAx>
        <c:axId val="15732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24912"/>
        <c:crosses val="autoZero"/>
        <c:crossBetween val="midCat"/>
      </c:valAx>
      <c:valAx>
        <c:axId val="15732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2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Bmax by Minima Type versus Orbit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'ASAS_J221652+2229_6_B_Table_min'!$H$9</c:f>
              <c:strCache>
                <c:ptCount val="1"/>
                <c:pt idx="0">
                  <c:v>Bmax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C5C6287-208F-492A-84B7-67529DEBCD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43-44E4-B648-B695B4A68FA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1F5F54A-4993-4932-BED6-FE894FADFF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743-44E4-B648-B695B4A68FA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AE9E9F5-7E44-4EBA-B641-69D20E3536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743-44E4-B648-B695B4A68FA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08BFC3E-B502-4D82-A357-764E0E75A0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743-44E4-B648-B695B4A68FA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453C897-2989-46BF-841E-E0B64E125C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743-44E4-B648-B695B4A68FA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1F856D2-0F45-49BB-8433-C818413E77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743-44E4-B648-B695B4A68FA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61D1EF9-DE71-4489-9D29-F879F1E2EA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743-44E4-B648-B695B4A68FA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4060E2E-07AC-4CDC-9E7D-ABDF7EE362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743-44E4-B648-B695B4A68FA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49084B2-1192-4B0F-AF90-A9C7049FA3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43-44E4-B648-B695B4A68FA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8DAB4E9-184C-450A-95BD-82FC1D4012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743-44E4-B648-B695B4A68FA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4B29FBE-BA45-44FC-95B6-CD879C9FAB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743-44E4-B648-B695B4A68FA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BA68509-1F64-41B7-A882-D10ED2FF9E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743-44E4-B648-B695B4A68FA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0FFBC8C-FEFF-4108-A8F6-E816DF0016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743-44E4-B648-B695B4A68FA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F3990C7-9EFA-4045-99B9-0D7BA3746D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743-44E4-B648-B695B4A68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'ASAS_J221652+2229_6_B_Table_min'!$F$10:$F$23</c:f>
              <c:numCache>
                <c:formatCode>0.0</c:formatCode>
                <c:ptCount val="14"/>
                <c:pt idx="0">
                  <c:v>0</c:v>
                </c:pt>
                <c:pt idx="1">
                  <c:v>11.5</c:v>
                </c:pt>
                <c:pt idx="2">
                  <c:v>34.5</c:v>
                </c:pt>
                <c:pt idx="3">
                  <c:v>57.5</c:v>
                </c:pt>
                <c:pt idx="4">
                  <c:v>72</c:v>
                </c:pt>
                <c:pt idx="5">
                  <c:v>81</c:v>
                </c:pt>
                <c:pt idx="6">
                  <c:v>83.5</c:v>
                </c:pt>
                <c:pt idx="7">
                  <c:v>92</c:v>
                </c:pt>
                <c:pt idx="8">
                  <c:v>92.5</c:v>
                </c:pt>
                <c:pt idx="9">
                  <c:v>104</c:v>
                </c:pt>
                <c:pt idx="10">
                  <c:v>106.5</c:v>
                </c:pt>
                <c:pt idx="11">
                  <c:v>115</c:v>
                </c:pt>
                <c:pt idx="12">
                  <c:v>118.5</c:v>
                </c:pt>
                <c:pt idx="13">
                  <c:v>133</c:v>
                </c:pt>
              </c:numCache>
            </c:numRef>
          </c:xVal>
          <c:yVal>
            <c:numRef>
              <c:f>'ASAS_J221652+2229_6_B_Table_min'!$H$10:$H$23</c:f>
              <c:numCache>
                <c:formatCode>0.000</c:formatCode>
                <c:ptCount val="14"/>
                <c:pt idx="0">
                  <c:v>14.954000000000001</c:v>
                </c:pt>
                <c:pt idx="1">
                  <c:v>14.577999999999999</c:v>
                </c:pt>
                <c:pt idx="2">
                  <c:v>14.566000000000001</c:v>
                </c:pt>
                <c:pt idx="3">
                  <c:v>14.586</c:v>
                </c:pt>
                <c:pt idx="4">
                  <c:v>14.943</c:v>
                </c:pt>
                <c:pt idx="5">
                  <c:v>14.981</c:v>
                </c:pt>
                <c:pt idx="6">
                  <c:v>14.536</c:v>
                </c:pt>
                <c:pt idx="7">
                  <c:v>14.948</c:v>
                </c:pt>
                <c:pt idx="8">
                  <c:v>14.522</c:v>
                </c:pt>
                <c:pt idx="9">
                  <c:v>14.97</c:v>
                </c:pt>
                <c:pt idx="10">
                  <c:v>14.515000000000001</c:v>
                </c:pt>
                <c:pt idx="11">
                  <c:v>14.933</c:v>
                </c:pt>
                <c:pt idx="12">
                  <c:v>14.477</c:v>
                </c:pt>
                <c:pt idx="13">
                  <c:v>14.948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'ASAS_J221652+2229_6_B_Table_min'!$I$10:$I$23</c15:f>
                <c15:dlblRangeCache>
                  <c:ptCount val="14"/>
                  <c:pt idx="0">
                    <c:v>P</c:v>
                  </c:pt>
                  <c:pt idx="1">
                    <c:v>S</c:v>
                  </c:pt>
                  <c:pt idx="2">
                    <c:v>S</c:v>
                  </c:pt>
                  <c:pt idx="3">
                    <c:v>S</c:v>
                  </c:pt>
                  <c:pt idx="4">
                    <c:v>P</c:v>
                  </c:pt>
                  <c:pt idx="5">
                    <c:v>P</c:v>
                  </c:pt>
                  <c:pt idx="6">
                    <c:v>S</c:v>
                  </c:pt>
                  <c:pt idx="7">
                    <c:v>P</c:v>
                  </c:pt>
                  <c:pt idx="8">
                    <c:v>S</c:v>
                  </c:pt>
                  <c:pt idx="9">
                    <c:v>P</c:v>
                  </c:pt>
                  <c:pt idx="10">
                    <c:v>S</c:v>
                  </c:pt>
                  <c:pt idx="11">
                    <c:v>P</c:v>
                  </c:pt>
                  <c:pt idx="12">
                    <c:v>S</c:v>
                  </c:pt>
                  <c:pt idx="13">
                    <c:v>P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743-44E4-B648-B695B4A68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38496"/>
        <c:axId val="259938016"/>
      </c:scatterChart>
      <c:valAx>
        <c:axId val="2599384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38016"/>
        <c:crosses val="autoZero"/>
        <c:crossBetween val="midCat"/>
      </c:valAx>
      <c:valAx>
        <c:axId val="2599380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3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16</xdr:col>
      <xdr:colOff>304800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AFA590-B619-49F4-9640-C6F443432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16</xdr:col>
      <xdr:colOff>304800</xdr:colOff>
      <xdr:row>29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FCE72D-41BD-4039-A19A-977F5300C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16</xdr:col>
      <xdr:colOff>304800</xdr:colOff>
      <xdr:row>44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6D7800-62AE-4B73-ACD2-4B0803811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F764-B5B4-4C76-8694-78F2AE9A9DBF}">
  <sheetPr>
    <pageSetUpPr fitToPage="1"/>
  </sheetPr>
  <dimension ref="A1:I140"/>
  <sheetViews>
    <sheetView tabSelected="1" workbookViewId="0">
      <selection activeCell="D1" sqref="D1:E1"/>
    </sheetView>
  </sheetViews>
  <sheetFormatPr defaultRowHeight="15" x14ac:dyDescent="0.25"/>
  <cols>
    <col min="1" max="1" width="14.7109375" style="3" bestFit="1" customWidth="1"/>
    <col min="2" max="2" width="15.7109375" style="4" bestFit="1" customWidth="1"/>
    <col min="4" max="4" width="14.7109375" bestFit="1" customWidth="1"/>
    <col min="5" max="5" width="15.42578125" bestFit="1" customWidth="1"/>
    <col min="6" max="6" width="13.140625" bestFit="1" customWidth="1"/>
    <col min="7" max="7" width="9.85546875" bestFit="1" customWidth="1"/>
    <col min="8" max="8" width="14.7109375" bestFit="1" customWidth="1"/>
  </cols>
  <sheetData>
    <row r="1" spans="1:9" ht="15.75" thickBot="1" x14ac:dyDescent="0.3">
      <c r="A1" s="3" t="s">
        <v>0</v>
      </c>
      <c r="B1" s="4" t="s">
        <v>1</v>
      </c>
      <c r="D1" s="5" t="s">
        <v>2</v>
      </c>
      <c r="E1" s="5"/>
      <c r="G1" s="5" t="s">
        <v>3</v>
      </c>
      <c r="H1" s="5"/>
    </row>
    <row r="2" spans="1:9" x14ac:dyDescent="0.25">
      <c r="A2" s="3">
        <v>2460874.7698877999</v>
      </c>
      <c r="B2" s="4">
        <v>14.0824</v>
      </c>
      <c r="D2" s="8" t="s">
        <v>4</v>
      </c>
      <c r="E2" s="9">
        <v>2460874.8171751797</v>
      </c>
      <c r="G2" s="12" cm="1">
        <f t="array" ref="G2:H6">LINEST(D10:D23,F10:F23,TRUE,TRUE)</f>
        <v>0.34644261959556089</v>
      </c>
      <c r="H2" s="6">
        <v>2460874.8171751797</v>
      </c>
    </row>
    <row r="3" spans="1:9" ht="15.75" thickBot="1" x14ac:dyDescent="0.3">
      <c r="A3" s="3">
        <v>2460874.7811161</v>
      </c>
      <c r="B3" s="4">
        <v>14.167999999999999</v>
      </c>
      <c r="D3" s="10" t="s">
        <v>5</v>
      </c>
      <c r="E3" s="11">
        <v>0.34644261959556089</v>
      </c>
      <c r="G3" s="13">
        <v>5.1627517289079593E-6</v>
      </c>
      <c r="H3" s="14">
        <v>4.5235830397386413E-4</v>
      </c>
    </row>
    <row r="4" spans="1:9" x14ac:dyDescent="0.25">
      <c r="A4" s="3">
        <v>2460874.7924592001</v>
      </c>
      <c r="B4" s="4">
        <v>14.340400000000001</v>
      </c>
      <c r="G4" s="15">
        <v>0.99999999733509881</v>
      </c>
      <c r="H4" s="14">
        <v>7.4487439753252813E-4</v>
      </c>
    </row>
    <row r="5" spans="1:9" x14ac:dyDescent="0.25">
      <c r="A5" s="3">
        <v>2460874.8036175999</v>
      </c>
      <c r="B5" s="4">
        <v>14.685</v>
      </c>
      <c r="G5" s="16">
        <v>4502981327.0635929</v>
      </c>
      <c r="H5" s="17">
        <v>12</v>
      </c>
    </row>
    <row r="6" spans="1:9" ht="15.75" thickBot="1" x14ac:dyDescent="0.3">
      <c r="A6" s="3">
        <v>2460874.8147526002</v>
      </c>
      <c r="B6" s="4">
        <v>14.9544</v>
      </c>
      <c r="G6" s="7">
        <v>2498.4245595995817</v>
      </c>
      <c r="H6" s="18">
        <v>6.6580544171933615E-6</v>
      </c>
    </row>
    <row r="7" spans="1:9" x14ac:dyDescent="0.25">
      <c r="A7" s="3">
        <v>2460874.8259808999</v>
      </c>
      <c r="B7" s="4">
        <v>14.759600000000001</v>
      </c>
    </row>
    <row r="8" spans="1:9" x14ac:dyDescent="0.25">
      <c r="A8" s="3">
        <v>2460874.8371854001</v>
      </c>
      <c r="B8" s="4">
        <v>14.433400000000001</v>
      </c>
      <c r="D8" s="1" t="s">
        <v>0</v>
      </c>
      <c r="E8" s="1"/>
      <c r="F8" s="1"/>
      <c r="G8" s="1"/>
      <c r="H8" s="1"/>
      <c r="I8" s="1"/>
    </row>
    <row r="9" spans="1:9" x14ac:dyDescent="0.25">
      <c r="A9" s="3">
        <v>2460874.8483901001</v>
      </c>
      <c r="B9" s="4">
        <v>14.1815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</row>
    <row r="10" spans="1:9" x14ac:dyDescent="0.25">
      <c r="A10" s="3">
        <v>2460874.8576729</v>
      </c>
      <c r="B10" s="4">
        <v>14.0823</v>
      </c>
      <c r="D10" s="3">
        <v>2460874.8158519999</v>
      </c>
      <c r="E10" s="3">
        <v>6.4400000000000004E-4</v>
      </c>
      <c r="F10" s="2">
        <f>ROUND(2*(D10-$E$2)/$E$3,0)/2</f>
        <v>0</v>
      </c>
      <c r="G10" s="3">
        <v>-1.323E-3</v>
      </c>
      <c r="H10" s="4">
        <v>14.954000000000001</v>
      </c>
      <c r="I10" s="1" t="str">
        <f>IF(INT(F10)-F10=0,"P","S")</f>
        <v>P</v>
      </c>
    </row>
    <row r="11" spans="1:9" x14ac:dyDescent="0.25">
      <c r="D11" s="3">
        <v>2460878.802904</v>
      </c>
      <c r="E11" s="3">
        <v>7.1900000000000002E-4</v>
      </c>
      <c r="F11" s="2">
        <f>ROUND(2*(D11-$E$2)/$E$3,0)/2</f>
        <v>11.5</v>
      </c>
      <c r="G11" s="3">
        <v>1.639E-3</v>
      </c>
      <c r="H11" s="4">
        <v>14.577999999999999</v>
      </c>
      <c r="I11" s="1" t="str">
        <f t="shared" ref="I11:I23" si="0">IF(INT(F11)-F11=0,"P","S")</f>
        <v>S</v>
      </c>
    </row>
    <row r="12" spans="1:9" x14ac:dyDescent="0.25">
      <c r="A12" s="3">
        <v>2460878.7576426002</v>
      </c>
      <c r="B12" s="4">
        <v>13.9579</v>
      </c>
      <c r="D12" s="3">
        <v>2460886.769173</v>
      </c>
      <c r="E12" s="3">
        <v>6.6100000000000002E-4</v>
      </c>
      <c r="F12" s="2">
        <f t="shared" ref="F12:F23" si="1">ROUND(2*(D12-$E$2)/$E$3,0)/2</f>
        <v>34.5</v>
      </c>
      <c r="G12" s="3">
        <v>-2.72E-4</v>
      </c>
      <c r="H12" s="4">
        <v>14.566000000000001</v>
      </c>
      <c r="I12" s="1" t="str">
        <f t="shared" si="0"/>
        <v>S</v>
      </c>
    </row>
    <row r="13" spans="1:9" x14ac:dyDescent="0.25">
      <c r="A13" s="3">
        <v>2460878.7689164998</v>
      </c>
      <c r="B13" s="4">
        <v>14.069599999999999</v>
      </c>
      <c r="D13" s="3">
        <v>2460894.7382260002</v>
      </c>
      <c r="E13" s="3">
        <v>5.5199999999999997E-4</v>
      </c>
      <c r="F13" s="2">
        <f t="shared" si="1"/>
        <v>57.5</v>
      </c>
      <c r="G13" s="3">
        <v>5.9999999999999995E-4</v>
      </c>
      <c r="H13" s="4">
        <v>14.586</v>
      </c>
      <c r="I13" s="1" t="str">
        <f t="shared" si="0"/>
        <v>S</v>
      </c>
    </row>
    <row r="14" spans="1:9" x14ac:dyDescent="0.25">
      <c r="A14" s="3">
        <v>2460878.7801672001</v>
      </c>
      <c r="B14" s="4">
        <v>14.2607</v>
      </c>
      <c r="D14" s="3">
        <v>2460899.7603560002</v>
      </c>
      <c r="E14" s="3">
        <v>7.94E-4</v>
      </c>
      <c r="F14" s="2">
        <f t="shared" si="1"/>
        <v>72</v>
      </c>
      <c r="G14" s="3">
        <v>-6.8800000000000003E-4</v>
      </c>
      <c r="H14" s="4">
        <v>14.943</v>
      </c>
      <c r="I14" s="1" t="str">
        <f t="shared" si="0"/>
        <v>P</v>
      </c>
    </row>
    <row r="15" spans="1:9" x14ac:dyDescent="0.25">
      <c r="A15" s="3">
        <v>2460878.7913480001</v>
      </c>
      <c r="B15" s="4">
        <v>14.480399999999999</v>
      </c>
      <c r="D15" s="3">
        <v>2460902.8789679999</v>
      </c>
      <c r="E15" s="3">
        <v>2.4000000000000001E-4</v>
      </c>
      <c r="F15" s="2">
        <f t="shared" si="1"/>
        <v>81</v>
      </c>
      <c r="G15" s="3">
        <v>-5.8999999999999998E-5</v>
      </c>
      <c r="H15" s="4">
        <v>14.981</v>
      </c>
      <c r="I15" s="1" t="str">
        <f t="shared" si="0"/>
        <v>P</v>
      </c>
    </row>
    <row r="16" spans="1:9" x14ac:dyDescent="0.25">
      <c r="A16" s="3">
        <v>2460878.8025986999</v>
      </c>
      <c r="B16" s="4">
        <v>14.5784</v>
      </c>
      <c r="D16" s="3">
        <v>2460903.7456180002</v>
      </c>
      <c r="E16" s="3">
        <v>3.2000000000000003E-4</v>
      </c>
      <c r="F16" s="2">
        <f t="shared" si="1"/>
        <v>83.5</v>
      </c>
      <c r="G16" s="3">
        <v>4.84E-4</v>
      </c>
      <c r="H16" s="4">
        <v>14.536</v>
      </c>
      <c r="I16" s="1" t="str">
        <f t="shared" si="0"/>
        <v>S</v>
      </c>
    </row>
    <row r="17" spans="1:9" x14ac:dyDescent="0.25">
      <c r="A17" s="3">
        <v>2460878.8138494999</v>
      </c>
      <c r="B17" s="4">
        <v>14.4658</v>
      </c>
      <c r="D17" s="3">
        <v>2460906.6895599999</v>
      </c>
      <c r="E17" s="3">
        <v>3.2899999999999997E-4</v>
      </c>
      <c r="F17" s="2">
        <f t="shared" si="1"/>
        <v>92</v>
      </c>
      <c r="G17" s="3">
        <v>-3.3700000000000001E-4</v>
      </c>
      <c r="H17" s="4">
        <v>14.948</v>
      </c>
      <c r="I17" s="1" t="str">
        <f t="shared" si="0"/>
        <v>P</v>
      </c>
    </row>
    <row r="18" spans="1:9" x14ac:dyDescent="0.25">
      <c r="A18" s="3">
        <v>2460878.8251</v>
      </c>
      <c r="B18" s="4">
        <v>14.245900000000001</v>
      </c>
      <c r="D18" s="3">
        <v>2460906.8630360002</v>
      </c>
      <c r="E18" s="3">
        <v>5.0500000000000002E-4</v>
      </c>
      <c r="F18" s="2">
        <f t="shared" si="1"/>
        <v>92.5</v>
      </c>
      <c r="G18" s="3">
        <v>-8.1000000000000004E-5</v>
      </c>
      <c r="H18" s="4">
        <v>14.522</v>
      </c>
      <c r="I18" s="1" t="str">
        <f t="shared" si="0"/>
        <v>S</v>
      </c>
    </row>
    <row r="19" spans="1:9" x14ac:dyDescent="0.25">
      <c r="A19" s="3">
        <v>2460878.8362349002</v>
      </c>
      <c r="B19" s="4">
        <v>14.087300000000001</v>
      </c>
      <c r="D19" s="3">
        <v>2460910.8468940002</v>
      </c>
      <c r="E19" s="3">
        <v>5.1599999999999997E-4</v>
      </c>
      <c r="F19" s="2">
        <f t="shared" si="1"/>
        <v>104</v>
      </c>
      <c r="G19" s="3">
        <v>-3.1399999999999999E-4</v>
      </c>
      <c r="H19" s="4">
        <v>14.97</v>
      </c>
      <c r="I19" s="1" t="str">
        <f t="shared" si="0"/>
        <v>P</v>
      </c>
    </row>
    <row r="20" spans="1:9" x14ac:dyDescent="0.25">
      <c r="A20" s="3">
        <v>2460878.8474623999</v>
      </c>
      <c r="B20" s="4">
        <v>14.0181</v>
      </c>
      <c r="D20" s="3">
        <v>2460911.7137369998</v>
      </c>
      <c r="E20" s="3">
        <v>3.48E-4</v>
      </c>
      <c r="F20" s="2">
        <f t="shared" si="1"/>
        <v>106.5</v>
      </c>
      <c r="G20" s="3">
        <v>4.2299999999999998E-4</v>
      </c>
      <c r="H20" s="4">
        <v>14.515000000000001</v>
      </c>
      <c r="I20" s="1" t="str">
        <f t="shared" si="0"/>
        <v>S</v>
      </c>
    </row>
    <row r="21" spans="1:9" x14ac:dyDescent="0.25">
      <c r="D21" s="3">
        <v>2460914.6583270002</v>
      </c>
      <c r="E21" s="3">
        <v>3.28E-4</v>
      </c>
      <c r="F21" s="2">
        <f t="shared" si="1"/>
        <v>115</v>
      </c>
      <c r="G21" s="3">
        <v>2.5099999999999998E-4</v>
      </c>
      <c r="H21" s="4">
        <v>14.933</v>
      </c>
      <c r="I21" s="1" t="str">
        <f t="shared" si="0"/>
        <v>P</v>
      </c>
    </row>
    <row r="22" spans="1:9" x14ac:dyDescent="0.25">
      <c r="A22" s="3">
        <v>2460886.7255309001</v>
      </c>
      <c r="B22" s="4">
        <v>13.9771</v>
      </c>
      <c r="D22" s="3">
        <v>2460915.8699329998</v>
      </c>
      <c r="E22" s="3">
        <v>4.6099999999999998E-4</v>
      </c>
      <c r="F22" s="2">
        <f t="shared" si="1"/>
        <v>118.5</v>
      </c>
      <c r="G22" s="3">
        <v>-6.9200000000000002E-4</v>
      </c>
      <c r="H22" s="4">
        <v>14.477</v>
      </c>
      <c r="I22" s="1" t="str">
        <f t="shared" si="0"/>
        <v>S</v>
      </c>
    </row>
    <row r="23" spans="1:9" x14ac:dyDescent="0.25">
      <c r="A23" s="3">
        <v>2460886.7367810998</v>
      </c>
      <c r="B23" s="4">
        <v>14.073600000000001</v>
      </c>
      <c r="D23" s="3">
        <v>2460920.8944140002</v>
      </c>
      <c r="E23" s="3">
        <v>3.6099999999999999E-4</v>
      </c>
      <c r="F23" s="2">
        <f t="shared" si="1"/>
        <v>133</v>
      </c>
      <c r="G23" s="3">
        <v>3.6999999999999999E-4</v>
      </c>
      <c r="H23" s="4">
        <v>14.948</v>
      </c>
      <c r="I23" s="1" t="str">
        <f t="shared" si="0"/>
        <v>P</v>
      </c>
    </row>
    <row r="24" spans="1:9" x14ac:dyDescent="0.25">
      <c r="A24" s="3">
        <v>2460886.7481006999</v>
      </c>
      <c r="B24" s="4">
        <v>14.2707</v>
      </c>
    </row>
    <row r="25" spans="1:9" x14ac:dyDescent="0.25">
      <c r="A25" s="3">
        <v>2460886.7593514002</v>
      </c>
      <c r="B25" s="4">
        <v>14.479699999999999</v>
      </c>
    </row>
    <row r="26" spans="1:9" x14ac:dyDescent="0.25">
      <c r="A26" s="3">
        <v>2460886.7706018002</v>
      </c>
      <c r="B26" s="4">
        <v>14.566000000000001</v>
      </c>
    </row>
    <row r="27" spans="1:9" x14ac:dyDescent="0.25">
      <c r="A27" s="3">
        <v>2460886.7818054999</v>
      </c>
      <c r="B27" s="4">
        <v>14.4199</v>
      </c>
    </row>
    <row r="28" spans="1:9" x14ac:dyDescent="0.25">
      <c r="A28" s="3">
        <v>2460886.7929632999</v>
      </c>
      <c r="B28" s="4">
        <v>14.1896</v>
      </c>
    </row>
    <row r="29" spans="1:9" x14ac:dyDescent="0.25">
      <c r="A29" s="3">
        <v>2460886.8042830001</v>
      </c>
      <c r="B29" s="4">
        <v>14.0703</v>
      </c>
    </row>
    <row r="30" spans="1:9" x14ac:dyDescent="0.25">
      <c r="A30" s="3">
        <v>2460886.8155562002</v>
      </c>
      <c r="B30" s="4">
        <v>13.981400000000001</v>
      </c>
    </row>
    <row r="32" spans="1:9" x14ac:dyDescent="0.25">
      <c r="A32" s="3">
        <v>2460894.6960327998</v>
      </c>
      <c r="B32" s="4">
        <v>13.960599999999999</v>
      </c>
    </row>
    <row r="33" spans="1:2" x14ac:dyDescent="0.25">
      <c r="A33" s="3">
        <v>2460894.7071448001</v>
      </c>
      <c r="B33" s="4">
        <v>14.0764</v>
      </c>
    </row>
    <row r="34" spans="1:2" x14ac:dyDescent="0.25">
      <c r="A34" s="3">
        <v>2460894.7182796001</v>
      </c>
      <c r="B34" s="4">
        <v>14.2979</v>
      </c>
    </row>
    <row r="35" spans="1:2" x14ac:dyDescent="0.25">
      <c r="A35" s="3">
        <v>2460894.7293684999</v>
      </c>
      <c r="B35" s="4">
        <v>14.4801</v>
      </c>
    </row>
    <row r="36" spans="1:2" x14ac:dyDescent="0.25">
      <c r="A36" s="3">
        <v>2460894.7405031999</v>
      </c>
      <c r="B36" s="4">
        <v>14.5855</v>
      </c>
    </row>
    <row r="37" spans="1:2" x14ac:dyDescent="0.25">
      <c r="A37" s="3">
        <v>2460894.7517076</v>
      </c>
      <c r="B37" s="4">
        <v>14.3818</v>
      </c>
    </row>
    <row r="38" spans="1:2" x14ac:dyDescent="0.25">
      <c r="A38" s="3">
        <v>2460894.7628890998</v>
      </c>
      <c r="B38" s="4">
        <v>14.190099999999999</v>
      </c>
    </row>
    <row r="39" spans="1:2" x14ac:dyDescent="0.25">
      <c r="A39" s="3">
        <v>2460894.7740473002</v>
      </c>
      <c r="B39" s="4">
        <v>14.027799999999999</v>
      </c>
    </row>
    <row r="40" spans="1:2" x14ac:dyDescent="0.25">
      <c r="A40" s="3">
        <v>2460894.7851819</v>
      </c>
      <c r="B40" s="4">
        <v>13.9374</v>
      </c>
    </row>
    <row r="42" spans="1:2" x14ac:dyDescent="0.25">
      <c r="A42" s="3">
        <v>2460899.7131039998</v>
      </c>
      <c r="B42" s="4">
        <v>14.0738</v>
      </c>
    </row>
    <row r="43" spans="1:2" x14ac:dyDescent="0.25">
      <c r="A43" s="3">
        <v>2460899.7241465999</v>
      </c>
      <c r="B43" s="4">
        <v>14.184699999999999</v>
      </c>
    </row>
    <row r="44" spans="1:2" x14ac:dyDescent="0.25">
      <c r="A44" s="3">
        <v>2460899.7351895999</v>
      </c>
      <c r="B44" s="4">
        <v>14.292</v>
      </c>
    </row>
    <row r="45" spans="1:2" x14ac:dyDescent="0.25">
      <c r="A45" s="3">
        <v>2460899.7462313999</v>
      </c>
      <c r="B45" s="4">
        <v>14.636200000000001</v>
      </c>
    </row>
    <row r="46" spans="1:2" x14ac:dyDescent="0.25">
      <c r="A46" s="3">
        <v>2460899.7572734999</v>
      </c>
      <c r="B46" s="4">
        <v>14.9429</v>
      </c>
    </row>
    <row r="47" spans="1:2" x14ac:dyDescent="0.25">
      <c r="A47" s="3">
        <v>2460899.7683858001</v>
      </c>
      <c r="B47" s="4">
        <v>14.8569</v>
      </c>
    </row>
    <row r="48" spans="1:2" x14ac:dyDescent="0.25">
      <c r="A48" s="3">
        <v>2460899.7794281002</v>
      </c>
      <c r="B48" s="4">
        <v>14.4702</v>
      </c>
    </row>
    <row r="49" spans="1:2" x14ac:dyDescent="0.25">
      <c r="A49" s="3">
        <v>2460899.7904706001</v>
      </c>
      <c r="B49" s="4">
        <v>14.2767</v>
      </c>
    </row>
    <row r="50" spans="1:2" x14ac:dyDescent="0.25">
      <c r="A50" s="3">
        <v>2460899.8015820002</v>
      </c>
      <c r="B50" s="4">
        <v>14.093500000000001</v>
      </c>
    </row>
    <row r="52" spans="1:2" x14ac:dyDescent="0.25">
      <c r="A52" s="3">
        <v>2460902.8342066999</v>
      </c>
      <c r="B52" s="4">
        <v>14.080500000000001</v>
      </c>
    </row>
    <row r="53" spans="1:2" x14ac:dyDescent="0.25">
      <c r="A53" s="3">
        <v>2460902.8453179998</v>
      </c>
      <c r="B53" s="4">
        <v>14.2082</v>
      </c>
    </row>
    <row r="54" spans="1:2" x14ac:dyDescent="0.25">
      <c r="A54" s="3">
        <v>2460902.8564288998</v>
      </c>
      <c r="B54" s="4">
        <v>14.412800000000001</v>
      </c>
    </row>
    <row r="55" spans="1:2" x14ac:dyDescent="0.25">
      <c r="A55" s="3">
        <v>2460902.8676097002</v>
      </c>
      <c r="B55" s="4">
        <v>14.740600000000001</v>
      </c>
    </row>
    <row r="56" spans="1:2" x14ac:dyDescent="0.25">
      <c r="A56" s="3">
        <v>2460902.8787905001</v>
      </c>
      <c r="B56" s="4">
        <v>14.980600000000001</v>
      </c>
    </row>
    <row r="57" spans="1:2" x14ac:dyDescent="0.25">
      <c r="A57" s="3">
        <v>2460902.8900412</v>
      </c>
      <c r="B57" s="4">
        <v>14.7675</v>
      </c>
    </row>
    <row r="58" spans="1:2" x14ac:dyDescent="0.25">
      <c r="A58" s="3">
        <v>2460902.9012214001</v>
      </c>
      <c r="B58" s="4">
        <v>14.426299999999999</v>
      </c>
    </row>
    <row r="59" spans="1:2" x14ac:dyDescent="0.25">
      <c r="A59" s="3">
        <v>2460902.9124019002</v>
      </c>
      <c r="B59" s="4">
        <v>14.198600000000001</v>
      </c>
    </row>
    <row r="60" spans="1:2" x14ac:dyDescent="0.25">
      <c r="A60" s="3">
        <v>2460902.9236059999</v>
      </c>
      <c r="B60" s="4">
        <v>14.0627</v>
      </c>
    </row>
    <row r="62" spans="1:2" x14ac:dyDescent="0.25">
      <c r="A62" s="3">
        <v>2460903.7027429999</v>
      </c>
      <c r="B62" s="4">
        <v>13.989000000000001</v>
      </c>
    </row>
    <row r="63" spans="1:2" x14ac:dyDescent="0.25">
      <c r="A63" s="3">
        <v>2460903.7139014001</v>
      </c>
      <c r="B63" s="4">
        <v>14.091100000000001</v>
      </c>
    </row>
    <row r="64" spans="1:2" x14ac:dyDescent="0.25">
      <c r="A64" s="3">
        <v>2460903.7250816999</v>
      </c>
      <c r="B64" s="4">
        <v>14.261100000000001</v>
      </c>
    </row>
    <row r="65" spans="1:2" x14ac:dyDescent="0.25">
      <c r="A65" s="3">
        <v>2460903.7340177</v>
      </c>
      <c r="B65" s="4">
        <v>14.423500000000001</v>
      </c>
    </row>
    <row r="66" spans="1:2" x14ac:dyDescent="0.25">
      <c r="A66" s="3">
        <v>2460903.7451754999</v>
      </c>
      <c r="B66" s="4">
        <v>14.5357</v>
      </c>
    </row>
    <row r="67" spans="1:2" x14ac:dyDescent="0.25">
      <c r="A67" s="3">
        <v>2460903.7564253998</v>
      </c>
      <c r="B67" s="4">
        <v>14.4192</v>
      </c>
    </row>
    <row r="68" spans="1:2" x14ac:dyDescent="0.25">
      <c r="A68" s="3">
        <v>2460903.7676761998</v>
      </c>
      <c r="B68" s="4">
        <v>14.2583</v>
      </c>
    </row>
    <row r="69" spans="1:2" x14ac:dyDescent="0.25">
      <c r="A69" s="3">
        <v>2460903.7788106999</v>
      </c>
      <c r="B69" s="4">
        <v>14.0542</v>
      </c>
    </row>
    <row r="70" spans="1:2" x14ac:dyDescent="0.25">
      <c r="A70" s="3">
        <v>2460903.7900379999</v>
      </c>
      <c r="B70" s="4">
        <v>13.9703</v>
      </c>
    </row>
    <row r="72" spans="1:2" x14ac:dyDescent="0.25">
      <c r="A72" s="3">
        <v>2460906.6456829002</v>
      </c>
      <c r="B72" s="4">
        <v>14.101900000000001</v>
      </c>
    </row>
    <row r="73" spans="1:2" x14ac:dyDescent="0.25">
      <c r="A73" s="3">
        <v>2460906.65698</v>
      </c>
      <c r="B73" s="4">
        <v>14.208399999999999</v>
      </c>
    </row>
    <row r="74" spans="1:2" x14ac:dyDescent="0.25">
      <c r="A74" s="3">
        <v>2460906.6681605</v>
      </c>
      <c r="B74" s="4">
        <v>14.442299999999999</v>
      </c>
    </row>
    <row r="75" spans="1:2" x14ac:dyDescent="0.25">
      <c r="A75" s="3">
        <v>2460906.6793419002</v>
      </c>
      <c r="B75" s="4">
        <v>14.731199999999999</v>
      </c>
    </row>
    <row r="76" spans="1:2" x14ac:dyDescent="0.25">
      <c r="A76" s="3">
        <v>2460906.6905240999</v>
      </c>
      <c r="B76" s="4">
        <v>14.947900000000001</v>
      </c>
    </row>
    <row r="77" spans="1:2" x14ac:dyDescent="0.25">
      <c r="A77" s="3">
        <v>2460906.7017033999</v>
      </c>
      <c r="B77" s="4">
        <v>14.7064</v>
      </c>
    </row>
    <row r="78" spans="1:2" x14ac:dyDescent="0.25">
      <c r="A78" s="3">
        <v>2460906.7129075001</v>
      </c>
      <c r="B78" s="4">
        <v>14.3918</v>
      </c>
    </row>
    <row r="79" spans="1:2" x14ac:dyDescent="0.25">
      <c r="A79" s="3">
        <v>2460906.7241345001</v>
      </c>
      <c r="B79" s="4">
        <v>14.1713</v>
      </c>
    </row>
    <row r="80" spans="1:2" x14ac:dyDescent="0.25">
      <c r="A80" s="3">
        <v>2460906.7353869001</v>
      </c>
      <c r="B80" s="4">
        <v>14.044700000000001</v>
      </c>
    </row>
    <row r="82" spans="1:2" x14ac:dyDescent="0.25">
      <c r="A82" s="3">
        <v>2460906.8199235001</v>
      </c>
      <c r="B82" s="4">
        <v>13.9765</v>
      </c>
    </row>
    <row r="83" spans="1:2" x14ac:dyDescent="0.25">
      <c r="A83" s="3">
        <v>2460906.8311041002</v>
      </c>
      <c r="B83" s="4">
        <v>14.099500000000001</v>
      </c>
    </row>
    <row r="84" spans="1:2" x14ac:dyDescent="0.25">
      <c r="A84" s="3">
        <v>2460906.8423776999</v>
      </c>
      <c r="B84" s="4">
        <v>14.2323</v>
      </c>
    </row>
    <row r="85" spans="1:2" x14ac:dyDescent="0.25">
      <c r="A85" s="3">
        <v>2460906.8536279998</v>
      </c>
      <c r="B85" s="4">
        <v>14.4491</v>
      </c>
    </row>
    <row r="86" spans="1:2" x14ac:dyDescent="0.25">
      <c r="A86" s="3">
        <v>2460906.8649013001</v>
      </c>
      <c r="B86" s="4">
        <v>14.5219</v>
      </c>
    </row>
    <row r="87" spans="1:2" x14ac:dyDescent="0.25">
      <c r="A87" s="3">
        <v>2460906.8762242999</v>
      </c>
      <c r="B87" s="4">
        <v>14.366899999999999</v>
      </c>
    </row>
    <row r="88" spans="1:2" x14ac:dyDescent="0.25">
      <c r="A88" s="3">
        <v>2460906.8875405998</v>
      </c>
      <c r="B88" s="4">
        <v>14.177300000000001</v>
      </c>
    </row>
    <row r="89" spans="1:2" x14ac:dyDescent="0.25">
      <c r="A89" s="3">
        <v>2460906.8988148002</v>
      </c>
      <c r="B89" s="4">
        <v>14.039199999999999</v>
      </c>
    </row>
    <row r="90" spans="1:2" x14ac:dyDescent="0.25">
      <c r="A90" s="3">
        <v>2460906.9101336999</v>
      </c>
      <c r="B90" s="4">
        <v>13.9604</v>
      </c>
    </row>
    <row r="92" spans="1:2" x14ac:dyDescent="0.25">
      <c r="A92" s="3">
        <v>2460910.8011973002</v>
      </c>
      <c r="B92" s="4">
        <v>14.069699999999999</v>
      </c>
    </row>
    <row r="93" spans="1:2" x14ac:dyDescent="0.25">
      <c r="A93" s="3">
        <v>2460910.812494</v>
      </c>
      <c r="B93" s="4">
        <v>14.2041</v>
      </c>
    </row>
    <row r="94" spans="1:2" x14ac:dyDescent="0.25">
      <c r="A94" s="3">
        <v>2460910.8238369999</v>
      </c>
      <c r="B94" s="4">
        <v>14.3779</v>
      </c>
    </row>
    <row r="95" spans="1:2" x14ac:dyDescent="0.25">
      <c r="A95" s="3">
        <v>2460910.8349718</v>
      </c>
      <c r="B95" s="4">
        <v>14.6914</v>
      </c>
    </row>
    <row r="96" spans="1:2" x14ac:dyDescent="0.25">
      <c r="A96" s="3">
        <v>2460910.8460835</v>
      </c>
      <c r="B96" s="4">
        <v>14.9695</v>
      </c>
    </row>
    <row r="97" spans="1:2" x14ac:dyDescent="0.25">
      <c r="A97" s="3">
        <v>2460910.8573806002</v>
      </c>
      <c r="B97" s="4">
        <v>14.755100000000001</v>
      </c>
    </row>
    <row r="98" spans="1:2" x14ac:dyDescent="0.25">
      <c r="A98" s="3">
        <v>2460910.8685387</v>
      </c>
      <c r="B98" s="4">
        <v>14.4396</v>
      </c>
    </row>
    <row r="99" spans="1:2" x14ac:dyDescent="0.25">
      <c r="A99" s="3">
        <v>2460910.8797657001</v>
      </c>
      <c r="B99" s="4">
        <v>14.177199999999999</v>
      </c>
    </row>
    <row r="100" spans="1:2" x14ac:dyDescent="0.25">
      <c r="A100" s="3">
        <v>2460910.8909693998</v>
      </c>
      <c r="B100" s="4">
        <v>14.0761</v>
      </c>
    </row>
    <row r="102" spans="1:2" x14ac:dyDescent="0.25">
      <c r="A102" s="3">
        <v>2460911.6696913</v>
      </c>
      <c r="B102" s="4">
        <v>13.960900000000001</v>
      </c>
    </row>
    <row r="103" spans="1:2" x14ac:dyDescent="0.25">
      <c r="A103" s="3">
        <v>2460911.6809414998</v>
      </c>
      <c r="B103" s="4">
        <v>14.062099999999999</v>
      </c>
    </row>
    <row r="104" spans="1:2" x14ac:dyDescent="0.25">
      <c r="A104" s="3">
        <v>2460911.6921923999</v>
      </c>
      <c r="B104" s="4">
        <v>14.229100000000001</v>
      </c>
    </row>
    <row r="105" spans="1:2" x14ac:dyDescent="0.25">
      <c r="A105" s="3">
        <v>2460911.7035125</v>
      </c>
      <c r="B105" s="4">
        <v>14.410399999999999</v>
      </c>
    </row>
    <row r="106" spans="1:2" x14ac:dyDescent="0.25">
      <c r="A106" s="3">
        <v>2460911.7146939002</v>
      </c>
      <c r="B106" s="4">
        <v>14.5146</v>
      </c>
    </row>
    <row r="107" spans="1:2" x14ac:dyDescent="0.25">
      <c r="A107" s="3">
        <v>2460911.7258747998</v>
      </c>
      <c r="B107" s="4">
        <v>14.388299999999999</v>
      </c>
    </row>
    <row r="108" spans="1:2" x14ac:dyDescent="0.25">
      <c r="A108" s="3">
        <v>2460911.7371947998</v>
      </c>
      <c r="B108" s="4">
        <v>14.179399999999999</v>
      </c>
    </row>
    <row r="109" spans="1:2" x14ac:dyDescent="0.25">
      <c r="A109" s="3">
        <v>2460911.7483754</v>
      </c>
      <c r="B109" s="4">
        <v>14.0365</v>
      </c>
    </row>
    <row r="110" spans="1:2" x14ac:dyDescent="0.25">
      <c r="A110" s="3">
        <v>2460911.7596036</v>
      </c>
      <c r="B110" s="4">
        <v>13.962999999999999</v>
      </c>
    </row>
    <row r="112" spans="1:2" x14ac:dyDescent="0.25">
      <c r="A112" s="3">
        <v>2460914.615214</v>
      </c>
      <c r="B112" s="4">
        <v>14.097799999999999</v>
      </c>
    </row>
    <row r="113" spans="1:2" x14ac:dyDescent="0.25">
      <c r="A113" s="3">
        <v>2460914.626381</v>
      </c>
      <c r="B113" s="4">
        <v>14.1937</v>
      </c>
    </row>
    <row r="114" spans="1:2" x14ac:dyDescent="0.25">
      <c r="A114" s="3">
        <v>2460914.6375154001</v>
      </c>
      <c r="B114" s="4">
        <v>14.4497</v>
      </c>
    </row>
    <row r="115" spans="1:2" x14ac:dyDescent="0.25">
      <c r="A115" s="3">
        <v>2460914.6487429002</v>
      </c>
      <c r="B115" s="4">
        <v>14.779500000000001</v>
      </c>
    </row>
    <row r="116" spans="1:2" x14ac:dyDescent="0.25">
      <c r="A116" s="3">
        <v>2460914.6599233998</v>
      </c>
      <c r="B116" s="4">
        <v>14.9331</v>
      </c>
    </row>
    <row r="117" spans="1:2" x14ac:dyDescent="0.25">
      <c r="A117" s="3">
        <v>2460914.6710578999</v>
      </c>
      <c r="B117" s="4">
        <v>14.715299999999999</v>
      </c>
    </row>
    <row r="118" spans="1:2" x14ac:dyDescent="0.25">
      <c r="A118" s="3">
        <v>2460914.6822849</v>
      </c>
      <c r="B118" s="4">
        <v>14.3482</v>
      </c>
    </row>
    <row r="119" spans="1:2" x14ac:dyDescent="0.25">
      <c r="A119" s="3">
        <v>2460914.6935124001</v>
      </c>
      <c r="B119" s="4">
        <v>14.1518</v>
      </c>
    </row>
    <row r="120" spans="1:2" x14ac:dyDescent="0.25">
      <c r="A120" s="3">
        <v>2460914.7046467001</v>
      </c>
      <c r="B120" s="4">
        <v>14.0342</v>
      </c>
    </row>
    <row r="122" spans="1:2" x14ac:dyDescent="0.25">
      <c r="A122" s="3">
        <v>2460915.8207363002</v>
      </c>
      <c r="B122" s="4">
        <v>13.909800000000001</v>
      </c>
    </row>
    <row r="123" spans="1:2" x14ac:dyDescent="0.25">
      <c r="A123" s="3">
        <v>2460915.8320559999</v>
      </c>
      <c r="B123" s="4">
        <v>13.9879</v>
      </c>
    </row>
    <row r="124" spans="1:2" x14ac:dyDescent="0.25">
      <c r="A124" s="3">
        <v>2460915.8433066998</v>
      </c>
      <c r="B124" s="4">
        <v>14.129899999999999</v>
      </c>
    </row>
    <row r="125" spans="1:2" x14ac:dyDescent="0.25">
      <c r="A125" s="3">
        <v>2460915.8545567002</v>
      </c>
      <c r="B125" s="4">
        <v>14.335800000000001</v>
      </c>
    </row>
    <row r="126" spans="1:2" x14ac:dyDescent="0.25">
      <c r="A126" s="3">
        <v>2460915.8657378</v>
      </c>
      <c r="B126" s="4">
        <v>14.477</v>
      </c>
    </row>
    <row r="127" spans="1:2" x14ac:dyDescent="0.25">
      <c r="A127" s="3">
        <v>2460915.8768722001</v>
      </c>
      <c r="B127" s="4">
        <v>14.468</v>
      </c>
    </row>
    <row r="128" spans="1:2" x14ac:dyDescent="0.25">
      <c r="A128" s="3">
        <v>2460915.8880312</v>
      </c>
      <c r="B128" s="4">
        <v>14.2827</v>
      </c>
    </row>
    <row r="129" spans="1:2" x14ac:dyDescent="0.25">
      <c r="A129" s="3">
        <v>2460915.8991645998</v>
      </c>
      <c r="B129" s="4">
        <v>14.098699999999999</v>
      </c>
    </row>
    <row r="130" spans="1:2" x14ac:dyDescent="0.25">
      <c r="A130" s="3">
        <v>2460915.9102987</v>
      </c>
      <c r="B130" s="4">
        <v>13.978300000000001</v>
      </c>
    </row>
    <row r="132" spans="1:2" x14ac:dyDescent="0.25">
      <c r="A132" s="3">
        <v>2460920.8487919001</v>
      </c>
      <c r="B132" s="4">
        <v>14.0733</v>
      </c>
    </row>
    <row r="133" spans="1:2" x14ac:dyDescent="0.25">
      <c r="A133" s="3">
        <v>2460920.8599721999</v>
      </c>
      <c r="B133" s="4">
        <v>14.166499999999999</v>
      </c>
    </row>
    <row r="134" spans="1:2" x14ac:dyDescent="0.25">
      <c r="A134" s="3">
        <v>2460920.8712916002</v>
      </c>
      <c r="B134" s="4">
        <v>14.4046</v>
      </c>
    </row>
    <row r="135" spans="1:2" x14ac:dyDescent="0.25">
      <c r="A135" s="3">
        <v>2460920.8825182002</v>
      </c>
      <c r="B135" s="4">
        <v>14.690099999999999</v>
      </c>
    </row>
    <row r="136" spans="1:2" x14ac:dyDescent="0.25">
      <c r="A136" s="3">
        <v>2460920.8938147002</v>
      </c>
      <c r="B136" s="4">
        <v>14.9483</v>
      </c>
    </row>
    <row r="137" spans="1:2" x14ac:dyDescent="0.25">
      <c r="A137" s="3">
        <v>2460920.9050185001</v>
      </c>
      <c r="B137" s="4">
        <v>14.7614</v>
      </c>
    </row>
    <row r="138" spans="1:2" x14ac:dyDescent="0.25">
      <c r="A138" s="3">
        <v>2460920.9163378999</v>
      </c>
      <c r="B138" s="4">
        <v>14.4122</v>
      </c>
    </row>
    <row r="139" spans="1:2" x14ac:dyDescent="0.25">
      <c r="A139" s="3">
        <v>2460920.927588</v>
      </c>
      <c r="B139" s="4">
        <v>14.1854</v>
      </c>
    </row>
    <row r="140" spans="1:2" x14ac:dyDescent="0.25">
      <c r="A140" s="3">
        <v>2460920.9389072</v>
      </c>
      <c r="B140" s="4">
        <v>14.079599999999999</v>
      </c>
    </row>
  </sheetData>
  <mergeCells count="2">
    <mergeCell ref="D1:E1"/>
    <mergeCell ref="G1:H1"/>
  </mergeCells>
  <pageMargins left="0.7" right="0.7" top="0.75" bottom="0.75" header="0.3" footer="0.3"/>
  <pageSetup scale="2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ASAS_J221652+2229_6_B_Table_min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Phillips</cp:lastModifiedBy>
  <cp:lastPrinted>2025-10-22T13:13:13Z</cp:lastPrinted>
  <dcterms:created xsi:type="dcterms:W3CDTF">2025-10-22T13:13:35Z</dcterms:created>
  <dcterms:modified xsi:type="dcterms:W3CDTF">2025-10-22T13:13:35Z</dcterms:modified>
</cp:coreProperties>
</file>